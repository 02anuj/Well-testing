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ink/ink1.xml" ContentType="application/inkml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2anu\OneDrive\Desktop\Proj\"/>
    </mc:Choice>
  </mc:AlternateContent>
  <xr:revisionPtr revIDLastSave="0" documentId="13_ncr:1_{850CA56D-244A-4A71-BF98-9211BC654118}" xr6:coauthVersionLast="47" xr6:coauthVersionMax="47" xr10:uidLastSave="{00000000-0000-0000-0000-000000000000}"/>
  <bookViews>
    <workbookView xWindow="-110" yWindow="-110" windowWidth="19420" windowHeight="10300" xr2:uid="{380CB82E-70C6-46DA-89BD-E548B0214AAF}"/>
  </bookViews>
  <sheets>
    <sheet name="Normal" sheetId="1" r:id="rId1"/>
    <sheet name="Dimensionl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24" i="1" l="1"/>
  <c r="W25" i="1"/>
  <c r="C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2" i="2"/>
  <c r="C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3" i="2"/>
  <c r="H7" i="2"/>
  <c r="M37" i="1"/>
  <c r="K37" i="1"/>
  <c r="M36" i="1"/>
  <c r="K36" i="1"/>
  <c r="M35" i="1"/>
  <c r="K35" i="1"/>
  <c r="M34" i="1"/>
  <c r="K34" i="1"/>
  <c r="AS31" i="1"/>
  <c r="AR30" i="1"/>
  <c r="AT29" i="1"/>
  <c r="AR28" i="1"/>
  <c r="W24" i="1"/>
  <c r="W23" i="1"/>
  <c r="R28" i="1"/>
  <c r="R25" i="1"/>
  <c r="R27" i="1"/>
  <c r="I18" i="1"/>
  <c r="AR22" i="1"/>
  <c r="AR23" i="1"/>
  <c r="AO25" i="1"/>
  <c r="C3" i="1"/>
  <c r="D3" i="1"/>
  <c r="E3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E4" i="1"/>
  <c r="E5" i="1"/>
  <c r="E6" i="1"/>
  <c r="E7" i="1"/>
  <c r="E8" i="1"/>
  <c r="E9" i="1"/>
  <c r="E10" i="1"/>
  <c r="E11" i="1"/>
  <c r="E1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D4" i="1"/>
  <c r="D5" i="1"/>
  <c r="D6" i="1"/>
  <c r="D7" i="1"/>
  <c r="D8" i="1"/>
  <c r="D9" i="1"/>
  <c r="D10" i="1"/>
  <c r="D11" i="1"/>
  <c r="D12" i="1"/>
  <c r="D13" i="1"/>
  <c r="E13" i="1" s="1"/>
  <c r="D14" i="1"/>
  <c r="E14" i="1" s="1"/>
  <c r="D15" i="1"/>
  <c r="E15" i="1" s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E29" i="1" s="1"/>
  <c r="D30" i="1"/>
  <c r="E30" i="1" s="1"/>
  <c r="D31" i="1"/>
  <c r="E31" i="1" s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E45" i="1" s="1"/>
  <c r="D46" i="1"/>
  <c r="E46" i="1" s="1"/>
  <c r="D47" i="1"/>
  <c r="E47" i="1" s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E61" i="1" s="1"/>
  <c r="D62" i="1"/>
  <c r="E62" i="1" s="1"/>
  <c r="D63" i="1"/>
  <c r="E63" i="1" s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E77" i="1" s="1"/>
  <c r="D78" i="1"/>
  <c r="E78" i="1" s="1"/>
  <c r="D79" i="1"/>
  <c r="E79" i="1" s="1"/>
</calcChain>
</file>

<file path=xl/sharedStrings.xml><?xml version="1.0" encoding="utf-8"?>
<sst xmlns="http://schemas.openxmlformats.org/spreadsheetml/2006/main" count="90" uniqueCount="60">
  <si>
    <t>t (hrs)</t>
  </si>
  <si>
    <t>Pwf (psia)</t>
  </si>
  <si>
    <t>slope</t>
  </si>
  <si>
    <t>k</t>
  </si>
  <si>
    <t>md</t>
  </si>
  <si>
    <t>Pwf at 1hr</t>
  </si>
  <si>
    <t>psi</t>
  </si>
  <si>
    <t>Pi-pwf at 1hr</t>
  </si>
  <si>
    <t>skin</t>
  </si>
  <si>
    <t>cs</t>
  </si>
  <si>
    <t>rbbl/psi</t>
  </si>
  <si>
    <t>Delta P</t>
  </si>
  <si>
    <t>t=</t>
  </si>
  <si>
    <t>Dp</t>
  </si>
  <si>
    <t>Cs</t>
  </si>
  <si>
    <t>Interpretation</t>
  </si>
  <si>
    <t>Pressure loss due to skin</t>
  </si>
  <si>
    <t xml:space="preserve">Taking reading on unit slope line </t>
  </si>
  <si>
    <t xml:space="preserve">Reading of y of horizontal line </t>
  </si>
  <si>
    <t>70.6qu/kh</t>
  </si>
  <si>
    <t>dp/dt</t>
  </si>
  <si>
    <t>Pdash=t*dt/dp</t>
  </si>
  <si>
    <t>q</t>
  </si>
  <si>
    <t>Pi</t>
  </si>
  <si>
    <t>h</t>
  </si>
  <si>
    <t>Phie</t>
  </si>
  <si>
    <t>Ct</t>
  </si>
  <si>
    <t>uo</t>
  </si>
  <si>
    <t>rw</t>
  </si>
  <si>
    <t>Bo</t>
  </si>
  <si>
    <t>stb/day</t>
  </si>
  <si>
    <t>ft</t>
  </si>
  <si>
    <t>psi-1</t>
  </si>
  <si>
    <t>cp</t>
  </si>
  <si>
    <t>rbd/stbd</t>
  </si>
  <si>
    <t xml:space="preserve">Equation of straight </t>
  </si>
  <si>
    <t>y = -130.4ln(x) + 3815.2</t>
  </si>
  <si>
    <t>log(k/phie*u*ct*rw*2)</t>
  </si>
  <si>
    <t>y = -4333.1x + 6099.4</t>
  </si>
  <si>
    <t>Equation of straight line</t>
  </si>
  <si>
    <t xml:space="preserve">For skin </t>
  </si>
  <si>
    <t>at time</t>
  </si>
  <si>
    <t xml:space="preserve">hours </t>
  </si>
  <si>
    <t>Ps-dash</t>
  </si>
  <si>
    <t>Del Ps</t>
  </si>
  <si>
    <t>m</t>
  </si>
  <si>
    <t>log(k*t/phie*u*ct*rw2)</t>
  </si>
  <si>
    <t>Extra Pressure loss due to skin</t>
  </si>
  <si>
    <t xml:space="preserve">Result </t>
  </si>
  <si>
    <t>Parameter</t>
  </si>
  <si>
    <t>using log log plot</t>
  </si>
  <si>
    <t xml:space="preserve">Using normal </t>
  </si>
  <si>
    <t>Well bore storage constant</t>
  </si>
  <si>
    <t>Unit</t>
  </si>
  <si>
    <t>rbb/psi</t>
  </si>
  <si>
    <t>Skin</t>
  </si>
  <si>
    <t>Permeability</t>
  </si>
  <si>
    <t>Td</t>
  </si>
  <si>
    <t>Pd</t>
  </si>
  <si>
    <t>Pd-dash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</si>
</sst>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595959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3" fillId="5" borderId="0" xfId="0" applyFont="1" applyFill="1"/>
    <xf numFmtId="0" fontId="5" fillId="6" borderId="0" xfId="0" applyFont="1" applyFill="1"/>
    <xf numFmtId="0" fontId="6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8" fillId="8" borderId="0" xfId="0" applyFont="1" applyFill="1"/>
    <xf numFmtId="0" fontId="0" fillId="8" borderId="0" xfId="0" applyFill="1"/>
    <xf numFmtId="0" fontId="6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 vertical="top"/>
    </xf>
    <xf numFmtId="0" fontId="4" fillId="3" borderId="0" xfId="0" applyFont="1" applyFill="1" applyAlignment="1">
      <alignment horizontal="center" vertical="center" readingOrder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readingOrder="1"/>
    </xf>
    <xf numFmtId="0" fontId="2" fillId="7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Semi-Log</a:t>
            </a:r>
            <a:r>
              <a:rPr lang="en-IN" baseline="0"/>
              <a:t>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8918157957528032E-2"/>
          <c:y val="0.11559670781893006"/>
          <c:w val="0.8790656167979003"/>
          <c:h val="0.78482194355335211"/>
        </c:manualLayout>
      </c:layout>
      <c:scatterChart>
        <c:scatterStyle val="lineMarker"/>
        <c:varyColors val="0"/>
        <c:ser>
          <c:idx val="0"/>
          <c:order val="0"/>
          <c:tx>
            <c:v>Entire Region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Normal!$A$3:$A$80</c:f>
              <c:numCache>
                <c:formatCode>General</c:formatCode>
                <c:ptCount val="78"/>
                <c:pt idx="0">
                  <c:v>1E-3</c:v>
                </c:pt>
                <c:pt idx="1">
                  <c:v>2.0999999999999999E-3</c:v>
                </c:pt>
                <c:pt idx="2">
                  <c:v>3.3999999999999998E-3</c:v>
                </c:pt>
                <c:pt idx="3">
                  <c:v>4.7999999999999996E-3</c:v>
                </c:pt>
                <c:pt idx="4">
                  <c:v>6.4000000000000003E-3</c:v>
                </c:pt>
                <c:pt idx="5">
                  <c:v>8.2000000000000007E-3</c:v>
                </c:pt>
                <c:pt idx="6">
                  <c:v>1.03E-2</c:v>
                </c:pt>
                <c:pt idx="7">
                  <c:v>1.2500000000000001E-2</c:v>
                </c:pt>
                <c:pt idx="8">
                  <c:v>1.5100000000000001E-2</c:v>
                </c:pt>
                <c:pt idx="9">
                  <c:v>1.7999999999999999E-2</c:v>
                </c:pt>
                <c:pt idx="10">
                  <c:v>2.12E-2</c:v>
                </c:pt>
                <c:pt idx="11">
                  <c:v>2.4899999999999999E-2</c:v>
                </c:pt>
                <c:pt idx="12">
                  <c:v>2.9000000000000001E-2</c:v>
                </c:pt>
                <c:pt idx="13">
                  <c:v>3.3599999999999998E-2</c:v>
                </c:pt>
                <c:pt idx="14">
                  <c:v>3.8800000000000001E-2</c:v>
                </c:pt>
                <c:pt idx="15">
                  <c:v>4.4699999999999997E-2</c:v>
                </c:pt>
                <c:pt idx="16">
                  <c:v>5.1299999999999998E-2</c:v>
                </c:pt>
                <c:pt idx="17">
                  <c:v>5.8700000000000002E-2</c:v>
                </c:pt>
                <c:pt idx="18">
                  <c:v>6.7000000000000004E-2</c:v>
                </c:pt>
                <c:pt idx="19">
                  <c:v>7.6399999999999996E-2</c:v>
                </c:pt>
                <c:pt idx="20">
                  <c:v>8.6900000000000005E-2</c:v>
                </c:pt>
                <c:pt idx="21">
                  <c:v>9.8799999999999999E-2</c:v>
                </c:pt>
                <c:pt idx="22">
                  <c:v>0.11210000000000001</c:v>
                </c:pt>
                <c:pt idx="23">
                  <c:v>0.12709999999999999</c:v>
                </c:pt>
                <c:pt idx="24">
                  <c:v>0.14399999999999999</c:v>
                </c:pt>
                <c:pt idx="25">
                  <c:v>0.16300000000000001</c:v>
                </c:pt>
                <c:pt idx="26">
                  <c:v>0.18440000000000001</c:v>
                </c:pt>
                <c:pt idx="27">
                  <c:v>0.20899999999999999</c:v>
                </c:pt>
                <c:pt idx="28">
                  <c:v>0.23599999999999999</c:v>
                </c:pt>
                <c:pt idx="29">
                  <c:v>0.26600000000000001</c:v>
                </c:pt>
                <c:pt idx="30">
                  <c:v>0.3</c:v>
                </c:pt>
                <c:pt idx="31">
                  <c:v>0.33900000000000002</c:v>
                </c:pt>
                <c:pt idx="32">
                  <c:v>0.38200000000000001</c:v>
                </c:pt>
                <c:pt idx="33">
                  <c:v>0.43099999999999999</c:v>
                </c:pt>
                <c:pt idx="34">
                  <c:v>0.48599999999999999</c:v>
                </c:pt>
                <c:pt idx="35">
                  <c:v>0.54700000000000004</c:v>
                </c:pt>
                <c:pt idx="36">
                  <c:v>0.61699999999999999</c:v>
                </c:pt>
                <c:pt idx="37">
                  <c:v>0.69499999999999995</c:v>
                </c:pt>
                <c:pt idx="38">
                  <c:v>0.78300000000000003</c:v>
                </c:pt>
                <c:pt idx="39">
                  <c:v>0.88200000000000001</c:v>
                </c:pt>
                <c:pt idx="40">
                  <c:v>0.99299999999999999</c:v>
                </c:pt>
                <c:pt idx="41">
                  <c:v>1.1180000000000001</c:v>
                </c:pt>
                <c:pt idx="42">
                  <c:v>1.2589999999999999</c:v>
                </c:pt>
                <c:pt idx="43">
                  <c:v>1.417</c:v>
                </c:pt>
                <c:pt idx="44">
                  <c:v>1.595</c:v>
                </c:pt>
                <c:pt idx="45">
                  <c:v>1.7949999999999999</c:v>
                </c:pt>
                <c:pt idx="46">
                  <c:v>2.02</c:v>
                </c:pt>
                <c:pt idx="47">
                  <c:v>2.2799999999999998</c:v>
                </c:pt>
                <c:pt idx="48">
                  <c:v>2.56</c:v>
                </c:pt>
                <c:pt idx="49">
                  <c:v>2.88</c:v>
                </c:pt>
                <c:pt idx="50">
                  <c:v>3.24</c:v>
                </c:pt>
                <c:pt idx="51">
                  <c:v>3.65</c:v>
                </c:pt>
                <c:pt idx="52">
                  <c:v>4.1100000000000003</c:v>
                </c:pt>
                <c:pt idx="53">
                  <c:v>4.62</c:v>
                </c:pt>
                <c:pt idx="54">
                  <c:v>5.2</c:v>
                </c:pt>
                <c:pt idx="55">
                  <c:v>5.85</c:v>
                </c:pt>
                <c:pt idx="56">
                  <c:v>6.58</c:v>
                </c:pt>
                <c:pt idx="57">
                  <c:v>7.4</c:v>
                </c:pt>
                <c:pt idx="58">
                  <c:v>8.33</c:v>
                </c:pt>
                <c:pt idx="59">
                  <c:v>9.3699999999999992</c:v>
                </c:pt>
                <c:pt idx="60">
                  <c:v>10.55</c:v>
                </c:pt>
                <c:pt idx="61">
                  <c:v>11.86</c:v>
                </c:pt>
                <c:pt idx="62">
                  <c:v>13.35</c:v>
                </c:pt>
                <c:pt idx="63">
                  <c:v>15.02</c:v>
                </c:pt>
                <c:pt idx="64">
                  <c:v>16.899999999999999</c:v>
                </c:pt>
                <c:pt idx="65">
                  <c:v>19.010000000000002</c:v>
                </c:pt>
                <c:pt idx="66">
                  <c:v>21.39</c:v>
                </c:pt>
                <c:pt idx="67">
                  <c:v>24.06</c:v>
                </c:pt>
                <c:pt idx="68">
                  <c:v>27.07</c:v>
                </c:pt>
                <c:pt idx="69">
                  <c:v>30.45</c:v>
                </c:pt>
                <c:pt idx="70">
                  <c:v>34.26</c:v>
                </c:pt>
                <c:pt idx="71">
                  <c:v>38.549999999999997</c:v>
                </c:pt>
                <c:pt idx="72">
                  <c:v>43.37</c:v>
                </c:pt>
                <c:pt idx="73">
                  <c:v>48.79</c:v>
                </c:pt>
                <c:pt idx="74">
                  <c:v>54.89</c:v>
                </c:pt>
                <c:pt idx="75">
                  <c:v>61.75</c:v>
                </c:pt>
                <c:pt idx="76">
                  <c:v>69.47</c:v>
                </c:pt>
                <c:pt idx="77">
                  <c:v>72</c:v>
                </c:pt>
              </c:numCache>
            </c:numRef>
          </c:xVal>
          <c:yVal>
            <c:numRef>
              <c:f>Normal!$B$3:$B$80</c:f>
              <c:numCache>
                <c:formatCode>General</c:formatCode>
                <c:ptCount val="78"/>
                <c:pt idx="0">
                  <c:v>6096.7846369260305</c:v>
                </c:pt>
                <c:pt idx="1">
                  <c:v>6091.5776911741759</c:v>
                </c:pt>
                <c:pt idx="2">
                  <c:v>6085.7378394062462</c:v>
                </c:pt>
                <c:pt idx="3">
                  <c:v>6079.1847976766294</c:v>
                </c:pt>
                <c:pt idx="4">
                  <c:v>6071.8584143703856</c:v>
                </c:pt>
                <c:pt idx="5">
                  <c:v>6063.6483242830973</c:v>
                </c:pt>
                <c:pt idx="6">
                  <c:v>6054.4643073534762</c:v>
                </c:pt>
                <c:pt idx="7">
                  <c:v>6044.196095774797</c:v>
                </c:pt>
                <c:pt idx="8">
                  <c:v>6032.7133861146149</c:v>
                </c:pt>
                <c:pt idx="9">
                  <c:v>6019.8859404167879</c:v>
                </c:pt>
                <c:pt idx="10">
                  <c:v>6005.5735421203208</c:v>
                </c:pt>
                <c:pt idx="11">
                  <c:v>5989.6059136048862</c:v>
                </c:pt>
                <c:pt idx="12">
                  <c:v>5971.8329287043198</c:v>
                </c:pt>
                <c:pt idx="13">
                  <c:v>5952.0543075510914</c:v>
                </c:pt>
                <c:pt idx="14">
                  <c:v>5930.0698115670575</c:v>
                </c:pt>
                <c:pt idx="15">
                  <c:v>5905.6691645946548</c:v>
                </c:pt>
                <c:pt idx="16">
                  <c:v>5878.6420332160596</c:v>
                </c:pt>
                <c:pt idx="17">
                  <c:v>5848.7277690121518</c:v>
                </c:pt>
                <c:pt idx="18">
                  <c:v>5815.7156520695653</c:v>
                </c:pt>
                <c:pt idx="19">
                  <c:v>5779.3343528751593</c:v>
                </c:pt>
                <c:pt idx="20">
                  <c:v>5739.3420475374369</c:v>
                </c:pt>
                <c:pt idx="21">
                  <c:v>5695.4960686194745</c:v>
                </c:pt>
                <c:pt idx="22">
                  <c:v>5647.5726846715115</c:v>
                </c:pt>
                <c:pt idx="23">
                  <c:v>5595.3366719681144</c:v>
                </c:pt>
                <c:pt idx="24">
                  <c:v>5538.6112156063155</c:v>
                </c:pt>
                <c:pt idx="25">
                  <c:v>5477.2575387766228</c:v>
                </c:pt>
                <c:pt idx="26">
                  <c:v>5411.1746593466569</c:v>
                </c:pt>
                <c:pt idx="27">
                  <c:v>5340.3595765561167</c:v>
                </c:pt>
                <c:pt idx="28">
                  <c:v>5264.8571868322479</c:v>
                </c:pt>
                <c:pt idx="29">
                  <c:v>5184.8411676707537</c:v>
                </c:pt>
                <c:pt idx="30">
                  <c:v>5100.5846935122372</c:v>
                </c:pt>
                <c:pt idx="31">
                  <c:v>5012.5019986649122</c:v>
                </c:pt>
                <c:pt idx="32">
                  <c:v>4921.1501146603032</c:v>
                </c:pt>
                <c:pt idx="33">
                  <c:v>4827.2308590848334</c:v>
                </c:pt>
                <c:pt idx="34">
                  <c:v>4731.6030263533967</c:v>
                </c:pt>
                <c:pt idx="35">
                  <c:v>4635.2437475462939</c:v>
                </c:pt>
                <c:pt idx="36">
                  <c:v>4539.2700598955653</c:v>
                </c:pt>
                <c:pt idx="37">
                  <c:v>4444.8683998805818</c:v>
                </c:pt>
                <c:pt idx="38">
                  <c:v>4353.2329644530801</c:v>
                </c:pt>
                <c:pt idx="39">
                  <c:v>4265.5539575272123</c:v>
                </c:pt>
                <c:pt idx="40">
                  <c:v>4182.9032634701343</c:v>
                </c:pt>
                <c:pt idx="41">
                  <c:v>4106.1705376583559</c:v>
                </c:pt>
                <c:pt idx="42">
                  <c:v>4036.0096755094937</c:v>
                </c:pt>
                <c:pt idx="43">
                  <c:v>3972.806301095728</c:v>
                </c:pt>
                <c:pt idx="44">
                  <c:v>3916.6051368421636</c:v>
                </c:pt>
                <c:pt idx="45">
                  <c:v>3867.1710475453906</c:v>
                </c:pt>
                <c:pt idx="46">
                  <c:v>3824.0098499971914</c:v>
                </c:pt>
                <c:pt idx="47">
                  <c:v>3786.4098903176327</c:v>
                </c:pt>
                <c:pt idx="48">
                  <c:v>3753.5450946801898</c:v>
                </c:pt>
                <c:pt idx="49">
                  <c:v>3724.5881809497614</c:v>
                </c:pt>
                <c:pt idx="50">
                  <c:v>3698.7213856128719</c:v>
                </c:pt>
                <c:pt idx="51">
                  <c:v>3675.2391133032079</c:v>
                </c:pt>
                <c:pt idx="52">
                  <c:v>3653.5481343468041</c:v>
                </c:pt>
                <c:pt idx="53">
                  <c:v>3633.2086168943251</c:v>
                </c:pt>
                <c:pt idx="54">
                  <c:v>3613.8830174587483</c:v>
                </c:pt>
                <c:pt idx="55">
                  <c:v>3595.3361000695672</c:v>
                </c:pt>
                <c:pt idx="56">
                  <c:v>3577.3837891017811</c:v>
                </c:pt>
                <c:pt idx="57">
                  <c:v>3559.9238546875476</c:v>
                </c:pt>
                <c:pt idx="58">
                  <c:v>3542.8643025705733</c:v>
                </c:pt>
                <c:pt idx="59">
                  <c:v>3526.1438302145184</c:v>
                </c:pt>
                <c:pt idx="60">
                  <c:v>3509.6909182527374</c:v>
                </c:pt>
                <c:pt idx="61">
                  <c:v>3493.4749605056754</c:v>
                </c:pt>
                <c:pt idx="62">
                  <c:v>3477.4653544894513</c:v>
                </c:pt>
                <c:pt idx="63">
                  <c:v>3461.6315038376747</c:v>
                </c:pt>
                <c:pt idx="64">
                  <c:v>3445.9428206627367</c:v>
                </c:pt>
                <c:pt idx="65">
                  <c:v>3430.3891648584636</c:v>
                </c:pt>
                <c:pt idx="66">
                  <c:v>3414.9399632701547</c:v>
                </c:pt>
                <c:pt idx="67">
                  <c:v>3399.6055186191247</c:v>
                </c:pt>
                <c:pt idx="68">
                  <c:v>3384.3450551817418</c:v>
                </c:pt>
                <c:pt idx="69">
                  <c:v>3369.16888100493</c:v>
                </c:pt>
                <c:pt idx="70">
                  <c:v>3354.0566645906911</c:v>
                </c:pt>
                <c:pt idx="71">
                  <c:v>3339.0085035075526</c:v>
                </c:pt>
                <c:pt idx="72">
                  <c:v>3324.0142876129057</c:v>
                </c:pt>
                <c:pt idx="73">
                  <c:v>3309.0639134908238</c:v>
                </c:pt>
                <c:pt idx="74">
                  <c:v>3294.157487050662</c:v>
                </c:pt>
                <c:pt idx="75">
                  <c:v>3279.2849139548098</c:v>
                </c:pt>
                <c:pt idx="76">
                  <c:v>3264.4463057072235</c:v>
                </c:pt>
                <c:pt idx="77">
                  <c:v>3259.9495140990689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5-448D-8278-BA60823280E1}"/>
            </c:ext>
          </c:extLst>
        </c:ser>
        <c:ser>
          <c:idx val="1"/>
          <c:order val="1"/>
          <c:tx>
            <c:v>Straight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20"/>
            <c:backward val="10"/>
            <c:dispRSqr val="0"/>
            <c:dispEq val="1"/>
            <c:trendlineLbl>
              <c:layout>
                <c:manualLayout>
                  <c:x val="-0.35880489938757654"/>
                  <c:y val="-5.843102945465149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-130.4ln(x) + 3815.2</a:t>
                    </a:r>
                    <a:endParaRPr lang="en-US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Normal!$A$63:$A$77</c:f>
              <c:numCache>
                <c:formatCode>General</c:formatCode>
                <c:ptCount val="15"/>
                <c:pt idx="0">
                  <c:v>10.55</c:v>
                </c:pt>
                <c:pt idx="1">
                  <c:v>11.86</c:v>
                </c:pt>
                <c:pt idx="2">
                  <c:v>13.35</c:v>
                </c:pt>
                <c:pt idx="3">
                  <c:v>15.02</c:v>
                </c:pt>
                <c:pt idx="4">
                  <c:v>16.899999999999999</c:v>
                </c:pt>
                <c:pt idx="5">
                  <c:v>19.010000000000002</c:v>
                </c:pt>
                <c:pt idx="6">
                  <c:v>21.39</c:v>
                </c:pt>
                <c:pt idx="7">
                  <c:v>24.06</c:v>
                </c:pt>
                <c:pt idx="8">
                  <c:v>27.07</c:v>
                </c:pt>
                <c:pt idx="9">
                  <c:v>30.45</c:v>
                </c:pt>
                <c:pt idx="10">
                  <c:v>34.26</c:v>
                </c:pt>
                <c:pt idx="11">
                  <c:v>38.549999999999997</c:v>
                </c:pt>
                <c:pt idx="12">
                  <c:v>43.37</c:v>
                </c:pt>
                <c:pt idx="13">
                  <c:v>48.79</c:v>
                </c:pt>
                <c:pt idx="14">
                  <c:v>54.89</c:v>
                </c:pt>
              </c:numCache>
            </c:numRef>
          </c:xVal>
          <c:yVal>
            <c:numRef>
              <c:f>Normal!$B$63:$B$78</c:f>
              <c:numCache>
                <c:formatCode>General</c:formatCode>
                <c:ptCount val="16"/>
                <c:pt idx="0">
                  <c:v>3509.6909182527374</c:v>
                </c:pt>
                <c:pt idx="1">
                  <c:v>3493.4749605056754</c:v>
                </c:pt>
                <c:pt idx="2">
                  <c:v>3477.4653544894513</c:v>
                </c:pt>
                <c:pt idx="3">
                  <c:v>3461.6315038376747</c:v>
                </c:pt>
                <c:pt idx="4">
                  <c:v>3445.9428206627367</c:v>
                </c:pt>
                <c:pt idx="5">
                  <c:v>3430.3891648584636</c:v>
                </c:pt>
                <c:pt idx="6">
                  <c:v>3414.9399632701547</c:v>
                </c:pt>
                <c:pt idx="7">
                  <c:v>3399.6055186191247</c:v>
                </c:pt>
                <c:pt idx="8">
                  <c:v>3384.3450551817418</c:v>
                </c:pt>
                <c:pt idx="9">
                  <c:v>3369.16888100493</c:v>
                </c:pt>
                <c:pt idx="10">
                  <c:v>3354.0566645906911</c:v>
                </c:pt>
                <c:pt idx="11">
                  <c:v>3339.0085035075526</c:v>
                </c:pt>
                <c:pt idx="12">
                  <c:v>3324.0142876129057</c:v>
                </c:pt>
                <c:pt idx="13">
                  <c:v>3309.0639134908238</c:v>
                </c:pt>
                <c:pt idx="14">
                  <c:v>3294.157487050662</c:v>
                </c:pt>
                <c:pt idx="15">
                  <c:v>3279.2849139548098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15-448D-8278-BA608232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97839"/>
        <c:axId val="425798799"/>
      </c:scatterChart>
      <c:valAx>
        <c:axId val="4257978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 hours--&gt;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98799"/>
        <c:crosses val="autoZero"/>
        <c:crossBetween val="midCat"/>
      </c:valAx>
      <c:valAx>
        <c:axId val="42579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Pressure</a:t>
                </a:r>
                <a:r>
                  <a:rPr lang="en-IN" baseline="0"/>
                  <a:t>   </a:t>
                </a:r>
                <a:r>
                  <a:rPr lang="en-IN"/>
                  <a:t>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9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72269571172522"/>
          <c:y val="0.65751076359074601"/>
          <c:w val="0.21650119109643129"/>
          <c:h val="0.195767031441255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Cartesian</a:t>
            </a:r>
            <a:r>
              <a:rPr lang="en-IN" baseline="0"/>
              <a:t> Plot of Early Time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9848206474190728E-2"/>
                  <c:y val="-0.281385972586760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Normal!$A$2:$A$20</c:f>
              <c:numCache>
                <c:formatCode>General</c:formatCode>
                <c:ptCount val="19"/>
                <c:pt idx="0">
                  <c:v>0</c:v>
                </c:pt>
                <c:pt idx="1">
                  <c:v>1E-3</c:v>
                </c:pt>
                <c:pt idx="2">
                  <c:v>2.0999999999999999E-3</c:v>
                </c:pt>
                <c:pt idx="3">
                  <c:v>3.3999999999999998E-3</c:v>
                </c:pt>
                <c:pt idx="4">
                  <c:v>4.7999999999999996E-3</c:v>
                </c:pt>
                <c:pt idx="5">
                  <c:v>6.4000000000000003E-3</c:v>
                </c:pt>
                <c:pt idx="6">
                  <c:v>8.2000000000000007E-3</c:v>
                </c:pt>
                <c:pt idx="7">
                  <c:v>1.03E-2</c:v>
                </c:pt>
                <c:pt idx="8">
                  <c:v>1.2500000000000001E-2</c:v>
                </c:pt>
                <c:pt idx="9">
                  <c:v>1.5100000000000001E-2</c:v>
                </c:pt>
                <c:pt idx="10">
                  <c:v>1.7999999999999999E-2</c:v>
                </c:pt>
                <c:pt idx="11">
                  <c:v>2.12E-2</c:v>
                </c:pt>
                <c:pt idx="12">
                  <c:v>2.4899999999999999E-2</c:v>
                </c:pt>
                <c:pt idx="13">
                  <c:v>2.9000000000000001E-2</c:v>
                </c:pt>
                <c:pt idx="14">
                  <c:v>3.3599999999999998E-2</c:v>
                </c:pt>
                <c:pt idx="15">
                  <c:v>3.8800000000000001E-2</c:v>
                </c:pt>
                <c:pt idx="16">
                  <c:v>4.4699999999999997E-2</c:v>
                </c:pt>
                <c:pt idx="17">
                  <c:v>5.1299999999999998E-2</c:v>
                </c:pt>
                <c:pt idx="18">
                  <c:v>5.8700000000000002E-2</c:v>
                </c:pt>
              </c:numCache>
            </c:numRef>
          </c:xVal>
          <c:yVal>
            <c:numRef>
              <c:f>Normal!$B$2:$B$20</c:f>
              <c:numCache>
                <c:formatCode>General</c:formatCode>
                <c:ptCount val="19"/>
                <c:pt idx="0">
                  <c:v>6102</c:v>
                </c:pt>
                <c:pt idx="1">
                  <c:v>6096.7846369260305</c:v>
                </c:pt>
                <c:pt idx="2">
                  <c:v>6091.5776911741759</c:v>
                </c:pt>
                <c:pt idx="3">
                  <c:v>6085.7378394062462</c:v>
                </c:pt>
                <c:pt idx="4">
                  <c:v>6079.1847976766294</c:v>
                </c:pt>
                <c:pt idx="5">
                  <c:v>6071.8584143703856</c:v>
                </c:pt>
                <c:pt idx="6">
                  <c:v>6063.6483242830973</c:v>
                </c:pt>
                <c:pt idx="7">
                  <c:v>6054.4643073534762</c:v>
                </c:pt>
                <c:pt idx="8">
                  <c:v>6044.196095774797</c:v>
                </c:pt>
                <c:pt idx="9">
                  <c:v>6032.7133861146149</c:v>
                </c:pt>
                <c:pt idx="10">
                  <c:v>6019.8859404167879</c:v>
                </c:pt>
                <c:pt idx="11">
                  <c:v>6005.5735421203208</c:v>
                </c:pt>
                <c:pt idx="12">
                  <c:v>5989.6059136048862</c:v>
                </c:pt>
                <c:pt idx="13">
                  <c:v>5971.8329287043198</c:v>
                </c:pt>
                <c:pt idx="14">
                  <c:v>5952.0543075510914</c:v>
                </c:pt>
                <c:pt idx="15">
                  <c:v>5930.0698115670575</c:v>
                </c:pt>
                <c:pt idx="16">
                  <c:v>5905.6691645946548</c:v>
                </c:pt>
                <c:pt idx="17">
                  <c:v>5878.6420332160596</c:v>
                </c:pt>
                <c:pt idx="18">
                  <c:v>5848.7277690121518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1-45F4-AB41-1891AE4E1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927103"/>
        <c:axId val="281928543"/>
      </c:scatterChart>
      <c:valAx>
        <c:axId val="28192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928543"/>
        <c:crosses val="autoZero"/>
        <c:crossBetween val="midCat"/>
      </c:valAx>
      <c:valAx>
        <c:axId val="28192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92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Log</a:t>
            </a:r>
            <a:r>
              <a:rPr lang="en-IN" baseline="0"/>
              <a:t> Log Plot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146623717489859"/>
          <c:y val="0.10112403100775194"/>
          <c:w val="0.86421558100691964"/>
          <c:h val="0.78103369346273577"/>
        </c:manualLayout>
      </c:layout>
      <c:scatterChart>
        <c:scatterStyle val="lineMarker"/>
        <c:varyColors val="0"/>
        <c:ser>
          <c:idx val="0"/>
          <c:order val="0"/>
          <c:tx>
            <c:v>Dp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72"/>
              <c:layout>
                <c:manualLayout>
                  <c:x val="-1.1402508551881553E-2"/>
                  <c:y val="0.1515151515151515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E9-454A-BEAD-C772FFDB2B3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Normal!$A$3:$A$80</c:f>
              <c:numCache>
                <c:formatCode>General</c:formatCode>
                <c:ptCount val="78"/>
                <c:pt idx="0">
                  <c:v>1E-3</c:v>
                </c:pt>
                <c:pt idx="1">
                  <c:v>2.0999999999999999E-3</c:v>
                </c:pt>
                <c:pt idx="2">
                  <c:v>3.3999999999999998E-3</c:v>
                </c:pt>
                <c:pt idx="3">
                  <c:v>4.7999999999999996E-3</c:v>
                </c:pt>
                <c:pt idx="4">
                  <c:v>6.4000000000000003E-3</c:v>
                </c:pt>
                <c:pt idx="5">
                  <c:v>8.2000000000000007E-3</c:v>
                </c:pt>
                <c:pt idx="6">
                  <c:v>1.03E-2</c:v>
                </c:pt>
                <c:pt idx="7">
                  <c:v>1.2500000000000001E-2</c:v>
                </c:pt>
                <c:pt idx="8">
                  <c:v>1.5100000000000001E-2</c:v>
                </c:pt>
                <c:pt idx="9">
                  <c:v>1.7999999999999999E-2</c:v>
                </c:pt>
                <c:pt idx="10">
                  <c:v>2.12E-2</c:v>
                </c:pt>
                <c:pt idx="11">
                  <c:v>2.4899999999999999E-2</c:v>
                </c:pt>
                <c:pt idx="12">
                  <c:v>2.9000000000000001E-2</c:v>
                </c:pt>
                <c:pt idx="13">
                  <c:v>3.3599999999999998E-2</c:v>
                </c:pt>
                <c:pt idx="14">
                  <c:v>3.8800000000000001E-2</c:v>
                </c:pt>
                <c:pt idx="15">
                  <c:v>4.4699999999999997E-2</c:v>
                </c:pt>
                <c:pt idx="16">
                  <c:v>5.1299999999999998E-2</c:v>
                </c:pt>
                <c:pt idx="17">
                  <c:v>5.8700000000000002E-2</c:v>
                </c:pt>
                <c:pt idx="18">
                  <c:v>6.7000000000000004E-2</c:v>
                </c:pt>
                <c:pt idx="19">
                  <c:v>7.6399999999999996E-2</c:v>
                </c:pt>
                <c:pt idx="20">
                  <c:v>8.6900000000000005E-2</c:v>
                </c:pt>
                <c:pt idx="21">
                  <c:v>9.8799999999999999E-2</c:v>
                </c:pt>
                <c:pt idx="22">
                  <c:v>0.11210000000000001</c:v>
                </c:pt>
                <c:pt idx="23">
                  <c:v>0.12709999999999999</c:v>
                </c:pt>
                <c:pt idx="24">
                  <c:v>0.14399999999999999</c:v>
                </c:pt>
                <c:pt idx="25">
                  <c:v>0.16300000000000001</c:v>
                </c:pt>
                <c:pt idx="26">
                  <c:v>0.18440000000000001</c:v>
                </c:pt>
                <c:pt idx="27">
                  <c:v>0.20899999999999999</c:v>
                </c:pt>
                <c:pt idx="28">
                  <c:v>0.23599999999999999</c:v>
                </c:pt>
                <c:pt idx="29">
                  <c:v>0.26600000000000001</c:v>
                </c:pt>
                <c:pt idx="30">
                  <c:v>0.3</c:v>
                </c:pt>
                <c:pt idx="31">
                  <c:v>0.33900000000000002</c:v>
                </c:pt>
                <c:pt idx="32">
                  <c:v>0.38200000000000001</c:v>
                </c:pt>
                <c:pt idx="33">
                  <c:v>0.43099999999999999</c:v>
                </c:pt>
                <c:pt idx="34">
                  <c:v>0.48599999999999999</c:v>
                </c:pt>
                <c:pt idx="35">
                  <c:v>0.54700000000000004</c:v>
                </c:pt>
                <c:pt idx="36">
                  <c:v>0.61699999999999999</c:v>
                </c:pt>
                <c:pt idx="37">
                  <c:v>0.69499999999999995</c:v>
                </c:pt>
                <c:pt idx="38">
                  <c:v>0.78300000000000003</c:v>
                </c:pt>
                <c:pt idx="39">
                  <c:v>0.88200000000000001</c:v>
                </c:pt>
                <c:pt idx="40">
                  <c:v>0.99299999999999999</c:v>
                </c:pt>
                <c:pt idx="41">
                  <c:v>1.1180000000000001</c:v>
                </c:pt>
                <c:pt idx="42">
                  <c:v>1.2589999999999999</c:v>
                </c:pt>
                <c:pt idx="43">
                  <c:v>1.417</c:v>
                </c:pt>
                <c:pt idx="44">
                  <c:v>1.595</c:v>
                </c:pt>
                <c:pt idx="45">
                  <c:v>1.7949999999999999</c:v>
                </c:pt>
                <c:pt idx="46">
                  <c:v>2.02</c:v>
                </c:pt>
                <c:pt idx="47">
                  <c:v>2.2799999999999998</c:v>
                </c:pt>
                <c:pt idx="48">
                  <c:v>2.56</c:v>
                </c:pt>
                <c:pt idx="49">
                  <c:v>2.88</c:v>
                </c:pt>
                <c:pt idx="50">
                  <c:v>3.24</c:v>
                </c:pt>
                <c:pt idx="51">
                  <c:v>3.65</c:v>
                </c:pt>
                <c:pt idx="52">
                  <c:v>4.1100000000000003</c:v>
                </c:pt>
                <c:pt idx="53">
                  <c:v>4.62</c:v>
                </c:pt>
                <c:pt idx="54">
                  <c:v>5.2</c:v>
                </c:pt>
                <c:pt idx="55">
                  <c:v>5.85</c:v>
                </c:pt>
                <c:pt idx="56">
                  <c:v>6.58</c:v>
                </c:pt>
                <c:pt idx="57">
                  <c:v>7.4</c:v>
                </c:pt>
                <c:pt idx="58">
                  <c:v>8.33</c:v>
                </c:pt>
                <c:pt idx="59">
                  <c:v>9.3699999999999992</c:v>
                </c:pt>
                <c:pt idx="60">
                  <c:v>10.55</c:v>
                </c:pt>
                <c:pt idx="61">
                  <c:v>11.86</c:v>
                </c:pt>
                <c:pt idx="62">
                  <c:v>13.35</c:v>
                </c:pt>
                <c:pt idx="63">
                  <c:v>15.02</c:v>
                </c:pt>
                <c:pt idx="64">
                  <c:v>16.899999999999999</c:v>
                </c:pt>
                <c:pt idx="65">
                  <c:v>19.010000000000002</c:v>
                </c:pt>
                <c:pt idx="66">
                  <c:v>21.39</c:v>
                </c:pt>
                <c:pt idx="67">
                  <c:v>24.06</c:v>
                </c:pt>
                <c:pt idx="68">
                  <c:v>27.07</c:v>
                </c:pt>
                <c:pt idx="69">
                  <c:v>30.45</c:v>
                </c:pt>
                <c:pt idx="70">
                  <c:v>34.26</c:v>
                </c:pt>
                <c:pt idx="71">
                  <c:v>38.549999999999997</c:v>
                </c:pt>
                <c:pt idx="72">
                  <c:v>43.37</c:v>
                </c:pt>
                <c:pt idx="73">
                  <c:v>48.79</c:v>
                </c:pt>
                <c:pt idx="74">
                  <c:v>54.89</c:v>
                </c:pt>
                <c:pt idx="75">
                  <c:v>61.75</c:v>
                </c:pt>
                <c:pt idx="76">
                  <c:v>69.47</c:v>
                </c:pt>
                <c:pt idx="77">
                  <c:v>72</c:v>
                </c:pt>
              </c:numCache>
            </c:numRef>
          </c:xVal>
          <c:yVal>
            <c:numRef>
              <c:f>Normal!$C$3:$C$80</c:f>
              <c:numCache>
                <c:formatCode>General</c:formatCode>
                <c:ptCount val="78"/>
                <c:pt idx="0">
                  <c:v>5.2153630739694563</c:v>
                </c:pt>
                <c:pt idx="1">
                  <c:v>10.422308825824075</c:v>
                </c:pt>
                <c:pt idx="2">
                  <c:v>16.262160593753833</c:v>
                </c:pt>
                <c:pt idx="3">
                  <c:v>22.815202323370613</c:v>
                </c:pt>
                <c:pt idx="4">
                  <c:v>30.141585629614383</c:v>
                </c:pt>
                <c:pt idx="5">
                  <c:v>38.351675716902719</c:v>
                </c:pt>
                <c:pt idx="6">
                  <c:v>47.535692646523785</c:v>
                </c:pt>
                <c:pt idx="7">
                  <c:v>57.803904225203041</c:v>
                </c:pt>
                <c:pt idx="8">
                  <c:v>69.286613885385123</c:v>
                </c:pt>
                <c:pt idx="9">
                  <c:v>82.114059583212111</c:v>
                </c:pt>
                <c:pt idx="10">
                  <c:v>96.426457879679219</c:v>
                </c:pt>
                <c:pt idx="11">
                  <c:v>112.39408639511385</c:v>
                </c:pt>
                <c:pt idx="12">
                  <c:v>130.16707129568022</c:v>
                </c:pt>
                <c:pt idx="13">
                  <c:v>149.94569244890863</c:v>
                </c:pt>
                <c:pt idx="14">
                  <c:v>171.93018843294249</c:v>
                </c:pt>
                <c:pt idx="15">
                  <c:v>196.33083540534517</c:v>
                </c:pt>
                <c:pt idx="16">
                  <c:v>223.35796678394036</c:v>
                </c:pt>
                <c:pt idx="17">
                  <c:v>253.27223098784816</c:v>
                </c:pt>
                <c:pt idx="18">
                  <c:v>286.28434793043471</c:v>
                </c:pt>
                <c:pt idx="19">
                  <c:v>322.66564712484069</c:v>
                </c:pt>
                <c:pt idx="20">
                  <c:v>362.65795246256312</c:v>
                </c:pt>
                <c:pt idx="21">
                  <c:v>406.5039313805255</c:v>
                </c:pt>
                <c:pt idx="22">
                  <c:v>454.42731532848848</c:v>
                </c:pt>
                <c:pt idx="23">
                  <c:v>506.66332803188561</c:v>
                </c:pt>
                <c:pt idx="24">
                  <c:v>563.38878439368455</c:v>
                </c:pt>
                <c:pt idx="25">
                  <c:v>624.74246122337718</c:v>
                </c:pt>
                <c:pt idx="26">
                  <c:v>690.82534065334312</c:v>
                </c:pt>
                <c:pt idx="27">
                  <c:v>761.64042344388326</c:v>
                </c:pt>
                <c:pt idx="28">
                  <c:v>837.14281316775214</c:v>
                </c:pt>
                <c:pt idx="29">
                  <c:v>917.15883232924625</c:v>
                </c:pt>
                <c:pt idx="30">
                  <c:v>1001.4153064877628</c:v>
                </c:pt>
                <c:pt idx="31">
                  <c:v>1089.4980013350878</c:v>
                </c:pt>
                <c:pt idx="32">
                  <c:v>1180.8498853396968</c:v>
                </c:pt>
                <c:pt idx="33">
                  <c:v>1274.7691409151666</c:v>
                </c:pt>
                <c:pt idx="34">
                  <c:v>1370.3969736466033</c:v>
                </c:pt>
                <c:pt idx="35">
                  <c:v>1466.7562524537061</c:v>
                </c:pt>
                <c:pt idx="36">
                  <c:v>1562.7299401044347</c:v>
                </c:pt>
                <c:pt idx="37">
                  <c:v>1657.1316001194182</c:v>
                </c:pt>
                <c:pt idx="38">
                  <c:v>1748.7670355469199</c:v>
                </c:pt>
                <c:pt idx="39">
                  <c:v>1836.4460424727877</c:v>
                </c:pt>
                <c:pt idx="40">
                  <c:v>1919.0967365298657</c:v>
                </c:pt>
                <c:pt idx="41">
                  <c:v>1995.8294623416441</c:v>
                </c:pt>
                <c:pt idx="42">
                  <c:v>2065.9903244905063</c:v>
                </c:pt>
                <c:pt idx="43">
                  <c:v>2129.193698904272</c:v>
                </c:pt>
                <c:pt idx="44">
                  <c:v>2185.3948631578364</c:v>
                </c:pt>
                <c:pt idx="45">
                  <c:v>2234.8289524546094</c:v>
                </c:pt>
                <c:pt idx="46">
                  <c:v>2277.9901500028086</c:v>
                </c:pt>
                <c:pt idx="47">
                  <c:v>2315.5901096823673</c:v>
                </c:pt>
                <c:pt idx="48">
                  <c:v>2348.4549053198102</c:v>
                </c:pt>
                <c:pt idx="49">
                  <c:v>2377.4118190502386</c:v>
                </c:pt>
                <c:pt idx="50">
                  <c:v>2403.2786143871281</c:v>
                </c:pt>
                <c:pt idx="51">
                  <c:v>2426.7608866967921</c:v>
                </c:pt>
                <c:pt idx="52">
                  <c:v>2448.4518656531959</c:v>
                </c:pt>
                <c:pt idx="53">
                  <c:v>2468.7913831056749</c:v>
                </c:pt>
                <c:pt idx="54">
                  <c:v>2488.1169825412517</c:v>
                </c:pt>
                <c:pt idx="55">
                  <c:v>2506.6638999304328</c:v>
                </c:pt>
                <c:pt idx="56">
                  <c:v>2524.6162108982189</c:v>
                </c:pt>
                <c:pt idx="57">
                  <c:v>2542.0761453124524</c:v>
                </c:pt>
                <c:pt idx="58">
                  <c:v>2559.1356974294267</c:v>
                </c:pt>
                <c:pt idx="59">
                  <c:v>2575.8561697854816</c:v>
                </c:pt>
                <c:pt idx="60">
                  <c:v>2592.3090817472626</c:v>
                </c:pt>
                <c:pt idx="61">
                  <c:v>2608.5250394943246</c:v>
                </c:pt>
                <c:pt idx="62">
                  <c:v>2624.5346455105487</c:v>
                </c:pt>
                <c:pt idx="63">
                  <c:v>2640.3684961623253</c:v>
                </c:pt>
                <c:pt idx="64">
                  <c:v>2656.0571793372633</c:v>
                </c:pt>
                <c:pt idx="65">
                  <c:v>2671.6108351415364</c:v>
                </c:pt>
                <c:pt idx="66">
                  <c:v>2687.0600367298453</c:v>
                </c:pt>
                <c:pt idx="67">
                  <c:v>2702.3944813808753</c:v>
                </c:pt>
                <c:pt idx="68">
                  <c:v>2717.6549448182582</c:v>
                </c:pt>
                <c:pt idx="69">
                  <c:v>2732.83111899507</c:v>
                </c:pt>
                <c:pt idx="70">
                  <c:v>2747.9433354093089</c:v>
                </c:pt>
                <c:pt idx="71">
                  <c:v>2762.9914964924474</c:v>
                </c:pt>
                <c:pt idx="72">
                  <c:v>2777.9857123870943</c:v>
                </c:pt>
                <c:pt idx="73">
                  <c:v>2792.9360865091762</c:v>
                </c:pt>
                <c:pt idx="74">
                  <c:v>2807.842512949338</c:v>
                </c:pt>
                <c:pt idx="75">
                  <c:v>2822.7150860451902</c:v>
                </c:pt>
                <c:pt idx="76">
                  <c:v>2837.5536942927765</c:v>
                </c:pt>
                <c:pt idx="77">
                  <c:v>2842.0504859009311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0-485F-A84C-0F7DB17393FB}"/>
            </c:ext>
          </c:extLst>
        </c:ser>
        <c:ser>
          <c:idx val="1"/>
          <c:order val="1"/>
          <c:tx>
            <c:v>P-dash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5.1136363636363674E-2"/>
                  <c:y val="0.1266339869281045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A0-485F-A84C-0F7DB17393FB}"/>
                </c:ext>
              </c:extLst>
            </c:dLbl>
            <c:dLbl>
              <c:idx val="6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0A0-485F-A84C-0F7DB17393FB}"/>
                </c:ext>
              </c:extLst>
            </c:dLbl>
            <c:dLbl>
              <c:idx val="72"/>
              <c:layout>
                <c:manualLayout>
                  <c:x val="-3.5984848484848488E-2"/>
                  <c:y val="8.986928104575156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A0-485F-A84C-0F7DB17393F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Normal!$A$3:$A$80</c:f>
              <c:numCache>
                <c:formatCode>General</c:formatCode>
                <c:ptCount val="78"/>
                <c:pt idx="0">
                  <c:v>1E-3</c:v>
                </c:pt>
                <c:pt idx="1">
                  <c:v>2.0999999999999999E-3</c:v>
                </c:pt>
                <c:pt idx="2">
                  <c:v>3.3999999999999998E-3</c:v>
                </c:pt>
                <c:pt idx="3">
                  <c:v>4.7999999999999996E-3</c:v>
                </c:pt>
                <c:pt idx="4">
                  <c:v>6.4000000000000003E-3</c:v>
                </c:pt>
                <c:pt idx="5">
                  <c:v>8.2000000000000007E-3</c:v>
                </c:pt>
                <c:pt idx="6">
                  <c:v>1.03E-2</c:v>
                </c:pt>
                <c:pt idx="7">
                  <c:v>1.2500000000000001E-2</c:v>
                </c:pt>
                <c:pt idx="8">
                  <c:v>1.5100000000000001E-2</c:v>
                </c:pt>
                <c:pt idx="9">
                  <c:v>1.7999999999999999E-2</c:v>
                </c:pt>
                <c:pt idx="10">
                  <c:v>2.12E-2</c:v>
                </c:pt>
                <c:pt idx="11">
                  <c:v>2.4899999999999999E-2</c:v>
                </c:pt>
                <c:pt idx="12">
                  <c:v>2.9000000000000001E-2</c:v>
                </c:pt>
                <c:pt idx="13">
                  <c:v>3.3599999999999998E-2</c:v>
                </c:pt>
                <c:pt idx="14">
                  <c:v>3.8800000000000001E-2</c:v>
                </c:pt>
                <c:pt idx="15">
                  <c:v>4.4699999999999997E-2</c:v>
                </c:pt>
                <c:pt idx="16">
                  <c:v>5.1299999999999998E-2</c:v>
                </c:pt>
                <c:pt idx="17">
                  <c:v>5.8700000000000002E-2</c:v>
                </c:pt>
                <c:pt idx="18">
                  <c:v>6.7000000000000004E-2</c:v>
                </c:pt>
                <c:pt idx="19">
                  <c:v>7.6399999999999996E-2</c:v>
                </c:pt>
                <c:pt idx="20">
                  <c:v>8.6900000000000005E-2</c:v>
                </c:pt>
                <c:pt idx="21">
                  <c:v>9.8799999999999999E-2</c:v>
                </c:pt>
                <c:pt idx="22">
                  <c:v>0.11210000000000001</c:v>
                </c:pt>
                <c:pt idx="23">
                  <c:v>0.12709999999999999</c:v>
                </c:pt>
                <c:pt idx="24">
                  <c:v>0.14399999999999999</c:v>
                </c:pt>
                <c:pt idx="25">
                  <c:v>0.16300000000000001</c:v>
                </c:pt>
                <c:pt idx="26">
                  <c:v>0.18440000000000001</c:v>
                </c:pt>
                <c:pt idx="27">
                  <c:v>0.20899999999999999</c:v>
                </c:pt>
                <c:pt idx="28">
                  <c:v>0.23599999999999999</c:v>
                </c:pt>
                <c:pt idx="29">
                  <c:v>0.26600000000000001</c:v>
                </c:pt>
                <c:pt idx="30">
                  <c:v>0.3</c:v>
                </c:pt>
                <c:pt idx="31">
                  <c:v>0.33900000000000002</c:v>
                </c:pt>
                <c:pt idx="32">
                  <c:v>0.38200000000000001</c:v>
                </c:pt>
                <c:pt idx="33">
                  <c:v>0.43099999999999999</c:v>
                </c:pt>
                <c:pt idx="34">
                  <c:v>0.48599999999999999</c:v>
                </c:pt>
                <c:pt idx="35">
                  <c:v>0.54700000000000004</c:v>
                </c:pt>
                <c:pt idx="36">
                  <c:v>0.61699999999999999</c:v>
                </c:pt>
                <c:pt idx="37">
                  <c:v>0.69499999999999995</c:v>
                </c:pt>
                <c:pt idx="38">
                  <c:v>0.78300000000000003</c:v>
                </c:pt>
                <c:pt idx="39">
                  <c:v>0.88200000000000001</c:v>
                </c:pt>
                <c:pt idx="40">
                  <c:v>0.99299999999999999</c:v>
                </c:pt>
                <c:pt idx="41">
                  <c:v>1.1180000000000001</c:v>
                </c:pt>
                <c:pt idx="42">
                  <c:v>1.2589999999999999</c:v>
                </c:pt>
                <c:pt idx="43">
                  <c:v>1.417</c:v>
                </c:pt>
                <c:pt idx="44">
                  <c:v>1.595</c:v>
                </c:pt>
                <c:pt idx="45">
                  <c:v>1.7949999999999999</c:v>
                </c:pt>
                <c:pt idx="46">
                  <c:v>2.02</c:v>
                </c:pt>
                <c:pt idx="47">
                  <c:v>2.2799999999999998</c:v>
                </c:pt>
                <c:pt idx="48">
                  <c:v>2.56</c:v>
                </c:pt>
                <c:pt idx="49">
                  <c:v>2.88</c:v>
                </c:pt>
                <c:pt idx="50">
                  <c:v>3.24</c:v>
                </c:pt>
                <c:pt idx="51">
                  <c:v>3.65</c:v>
                </c:pt>
                <c:pt idx="52">
                  <c:v>4.1100000000000003</c:v>
                </c:pt>
                <c:pt idx="53">
                  <c:v>4.62</c:v>
                </c:pt>
                <c:pt idx="54">
                  <c:v>5.2</c:v>
                </c:pt>
                <c:pt idx="55">
                  <c:v>5.85</c:v>
                </c:pt>
                <c:pt idx="56">
                  <c:v>6.58</c:v>
                </c:pt>
                <c:pt idx="57">
                  <c:v>7.4</c:v>
                </c:pt>
                <c:pt idx="58">
                  <c:v>8.33</c:v>
                </c:pt>
                <c:pt idx="59">
                  <c:v>9.3699999999999992</c:v>
                </c:pt>
                <c:pt idx="60">
                  <c:v>10.55</c:v>
                </c:pt>
                <c:pt idx="61">
                  <c:v>11.86</c:v>
                </c:pt>
                <c:pt idx="62">
                  <c:v>13.35</c:v>
                </c:pt>
                <c:pt idx="63">
                  <c:v>15.02</c:v>
                </c:pt>
                <c:pt idx="64">
                  <c:v>16.899999999999999</c:v>
                </c:pt>
                <c:pt idx="65">
                  <c:v>19.010000000000002</c:v>
                </c:pt>
                <c:pt idx="66">
                  <c:v>21.39</c:v>
                </c:pt>
                <c:pt idx="67">
                  <c:v>24.06</c:v>
                </c:pt>
                <c:pt idx="68">
                  <c:v>27.07</c:v>
                </c:pt>
                <c:pt idx="69">
                  <c:v>30.45</c:v>
                </c:pt>
                <c:pt idx="70">
                  <c:v>34.26</c:v>
                </c:pt>
                <c:pt idx="71">
                  <c:v>38.549999999999997</c:v>
                </c:pt>
                <c:pt idx="72">
                  <c:v>43.37</c:v>
                </c:pt>
                <c:pt idx="73">
                  <c:v>48.79</c:v>
                </c:pt>
                <c:pt idx="74">
                  <c:v>54.89</c:v>
                </c:pt>
                <c:pt idx="75">
                  <c:v>61.75</c:v>
                </c:pt>
                <c:pt idx="76">
                  <c:v>69.47</c:v>
                </c:pt>
                <c:pt idx="77">
                  <c:v>72</c:v>
                </c:pt>
              </c:numCache>
            </c:numRef>
          </c:xVal>
          <c:yVal>
            <c:numRef>
              <c:f>Normal!$E$3:$E$80</c:f>
              <c:numCache>
                <c:formatCode>General</c:formatCode>
                <c:ptCount val="78"/>
                <c:pt idx="0">
                  <c:v>5.2153630739694563</c:v>
                </c:pt>
                <c:pt idx="1">
                  <c:v>9.9405327989951822</c:v>
                </c:pt>
                <c:pt idx="2">
                  <c:v>15.273458469970137</c:v>
                </c:pt>
                <c:pt idx="3">
                  <c:v>22.46757164440039</c:v>
                </c:pt>
                <c:pt idx="4">
                  <c:v>29.305533224975068</c:v>
                </c:pt>
                <c:pt idx="5">
                  <c:v>37.401521508757966</c:v>
                </c:pt>
                <c:pt idx="6">
                  <c:v>45.045416369093807</c:v>
                </c:pt>
                <c:pt idx="7">
                  <c:v>58.342111242495768</c:v>
                </c:pt>
                <c:pt idx="8">
                  <c:v>66.68804456490362</c:v>
                </c:pt>
                <c:pt idx="9">
                  <c:v>79.618628469271002</c:v>
                </c:pt>
                <c:pt idx="10">
                  <c:v>94.819638714094552</c:v>
                </c:pt>
                <c:pt idx="11">
                  <c:v>107.45782433360063</c:v>
                </c:pt>
                <c:pt idx="12">
                  <c:v>125.71135661376205</c:v>
                </c:pt>
                <c:pt idx="13">
                  <c:v>144.46992842358156</c:v>
                </c:pt>
                <c:pt idx="14">
                  <c:v>164.03816234240634</c:v>
                </c:pt>
                <c:pt idx="15">
                  <c:v>184.86591858752556</c:v>
                </c:pt>
                <c:pt idx="16">
                  <c:v>210.07452116998979</c:v>
                </c:pt>
                <c:pt idx="17">
                  <c:v>237.29287956343072</c:v>
                </c:pt>
                <c:pt idx="18">
                  <c:v>266.4833536329275</c:v>
                </c:pt>
                <c:pt idx="19">
                  <c:v>295.69481472900208</c:v>
                </c:pt>
                <c:pt idx="20">
                  <c:v>330.98393655695963</c:v>
                </c:pt>
                <c:pt idx="21">
                  <c:v>364.03216110039375</c:v>
                </c:pt>
                <c:pt idx="22">
                  <c:v>403.92566470425919</c:v>
                </c:pt>
                <c:pt idx="23">
                  <c:v>442.61314764011877</c:v>
                </c:pt>
                <c:pt idx="24">
                  <c:v>483.34116663307969</c:v>
                </c:pt>
                <c:pt idx="25">
                  <c:v>526.3499643810469</c:v>
                </c:pt>
                <c:pt idx="26">
                  <c:v>569.42443770494015</c:v>
                </c:pt>
                <c:pt idx="27">
                  <c:v>601.64033752938622</c:v>
                </c:pt>
                <c:pt idx="28">
                  <c:v>659.94681388270578</c:v>
                </c:pt>
                <c:pt idx="29">
                  <c:v>709.47536989858054</c:v>
                </c:pt>
                <c:pt idx="30">
                  <c:v>743.43947786926412</c:v>
                </c:pt>
                <c:pt idx="31">
                  <c:v>765.64188598059366</c:v>
                </c:pt>
                <c:pt idx="32">
                  <c:v>811.54464394792228</c:v>
                </c:pt>
                <c:pt idx="33">
                  <c:v>826.10610516382667</c:v>
                </c:pt>
                <c:pt idx="34">
                  <c:v>845.00230377233152</c:v>
                </c:pt>
                <c:pt idx="35">
                  <c:v>864.074188647298</c:v>
                </c:pt>
                <c:pt idx="36">
                  <c:v>845.93950400713709</c:v>
                </c:pt>
                <c:pt idx="37">
                  <c:v>841.14299628735307</c:v>
                </c:pt>
                <c:pt idx="38">
                  <c:v>815.34711295152067</c:v>
                </c:pt>
                <c:pt idx="39">
                  <c:v>781.14024352136721</c:v>
                </c:pt>
                <c:pt idx="40">
                  <c:v>739.38864142953571</c:v>
                </c:pt>
                <c:pt idx="41">
                  <c:v>686.29749966054578</c:v>
                </c:pt>
                <c:pt idx="42">
                  <c:v>626.47181166962844</c:v>
                </c:pt>
                <c:pt idx="43">
                  <c:v>566.83026293864498</c:v>
                </c:pt>
                <c:pt idx="44">
                  <c:v>503.60032013727715</c:v>
                </c:pt>
                <c:pt idx="45">
                  <c:v>443.6709514385376</c:v>
                </c:pt>
                <c:pt idx="46">
                  <c:v>387.49164021049927</c:v>
                </c:pt>
                <c:pt idx="47">
                  <c:v>329.72272334382228</c:v>
                </c:pt>
                <c:pt idx="48">
                  <c:v>300.47813154233546</c:v>
                </c:pt>
                <c:pt idx="49">
                  <c:v>260.61222357385543</c:v>
                </c:pt>
                <c:pt idx="50">
                  <c:v>232.80115803200516</c:v>
                </c:pt>
                <c:pt idx="51">
                  <c:v>209.04949739091171</c:v>
                </c:pt>
                <c:pt idx="52">
                  <c:v>193.80418154525984</c:v>
                </c:pt>
                <c:pt idx="53">
                  <c:v>184.25209927539771</c:v>
                </c:pt>
                <c:pt idx="54">
                  <c:v>173.26399493965411</c:v>
                </c:pt>
                <c:pt idx="55">
                  <c:v>166.92225650262995</c:v>
                </c:pt>
                <c:pt idx="56">
                  <c:v>161.81672077812721</c:v>
                </c:pt>
                <c:pt idx="57">
                  <c:v>157.56526178698456</c:v>
                </c:pt>
                <c:pt idx="58">
                  <c:v>152.80222487569523</c:v>
                </c:pt>
                <c:pt idx="59">
                  <c:v>150.64502497714832</c:v>
                </c:pt>
                <c:pt idx="60">
                  <c:v>147.10018745490581</c:v>
                </c:pt>
                <c:pt idx="61">
                  <c:v>146.81012128256162</c:v>
                </c:pt>
                <c:pt idx="62">
                  <c:v>143.44177202455816</c:v>
                </c:pt>
                <c:pt idx="63">
                  <c:v>142.40984238903292</c:v>
                </c:pt>
                <c:pt idx="64">
                  <c:v>141.03124768960208</c:v>
                </c:pt>
                <c:pt idx="65">
                  <c:v>140.13033025556027</c:v>
                </c:pt>
                <c:pt idx="66">
                  <c:v>138.84807645963275</c:v>
                </c:pt>
                <c:pt idx="67">
                  <c:v>138.18229899018075</c:v>
                </c:pt>
                <c:pt idx="68">
                  <c:v>137.24277250829061</c:v>
                </c:pt>
                <c:pt idx="69">
                  <c:v>136.72026736210685</c:v>
                </c:pt>
                <c:pt idx="70">
                  <c:v>135.89095389811678</c:v>
                </c:pt>
                <c:pt idx="71">
                  <c:v>135.2229859568734</c:v>
                </c:pt>
                <c:pt idx="72">
                  <c:v>134.91683472009058</c:v>
                </c:pt>
                <c:pt idx="73">
                  <c:v>134.58095081482981</c:v>
                </c:pt>
                <c:pt idx="74">
                  <c:v>134.13340119680012</c:v>
                </c:pt>
                <c:pt idx="75">
                  <c:v>133.8748379983781</c:v>
                </c:pt>
                <c:pt idx="76">
                  <c:v>133.52825323313743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A0-485F-A84C-0F7DB1739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083711"/>
        <c:axId val="574085631"/>
      </c:scatterChart>
      <c:valAx>
        <c:axId val="57408371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085631"/>
        <c:crosses val="autoZero"/>
        <c:crossBetween val="midCat"/>
      </c:valAx>
      <c:valAx>
        <c:axId val="5740856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Del</a:t>
                </a:r>
                <a:r>
                  <a:rPr lang="en-IN" baseline="0"/>
                  <a:t> P &amp; Pdash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08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50940833888305E-2"/>
          <c:y val="3.1500572737686139E-2"/>
          <c:w val="0.85280030294720621"/>
          <c:h val="0.84908846767865354"/>
        </c:manualLayout>
      </c:layout>
      <c:scatterChart>
        <c:scatterStyle val="lineMarker"/>
        <c:varyColors val="0"/>
        <c:ser>
          <c:idx val="0"/>
          <c:order val="0"/>
          <c:tx>
            <c:v>Pd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Dimensionless!$C$3:$C$80</c:f>
              <c:numCache>
                <c:formatCode>General</c:formatCode>
                <c:ptCount val="78"/>
                <c:pt idx="0">
                  <c:v>16.480588235294114</c:v>
                </c:pt>
                <c:pt idx="1">
                  <c:v>34.609235294117639</c:v>
                </c:pt>
                <c:pt idx="2">
                  <c:v>56.033999999999992</c:v>
                </c:pt>
                <c:pt idx="3">
                  <c:v>79.106823529411756</c:v>
                </c:pt>
                <c:pt idx="4">
                  <c:v>105.47576470588234</c:v>
                </c:pt>
                <c:pt idx="5">
                  <c:v>135.14082352941176</c:v>
                </c:pt>
                <c:pt idx="6">
                  <c:v>169.7500588235294</c:v>
                </c:pt>
                <c:pt idx="7">
                  <c:v>206.00735294117646</c:v>
                </c:pt>
                <c:pt idx="8">
                  <c:v>248.85688235294117</c:v>
                </c:pt>
                <c:pt idx="9">
                  <c:v>296.65058823529409</c:v>
                </c:pt>
                <c:pt idx="10">
                  <c:v>349.38847058823529</c:v>
                </c:pt>
                <c:pt idx="11">
                  <c:v>410.36664705882345</c:v>
                </c:pt>
                <c:pt idx="12">
                  <c:v>477.93705882352941</c:v>
                </c:pt>
                <c:pt idx="13">
                  <c:v>553.74776470588222</c:v>
                </c:pt>
                <c:pt idx="14">
                  <c:v>639.44682352941174</c:v>
                </c:pt>
                <c:pt idx="15">
                  <c:v>736.68229411764696</c:v>
                </c:pt>
                <c:pt idx="16">
                  <c:v>845.45417647058821</c:v>
                </c:pt>
                <c:pt idx="17">
                  <c:v>967.41052941176474</c:v>
                </c:pt>
                <c:pt idx="18">
                  <c:v>1104.1994117647057</c:v>
                </c:pt>
                <c:pt idx="19">
                  <c:v>1259.1169411764704</c:v>
                </c:pt>
                <c:pt idx="20">
                  <c:v>1432.1631176470587</c:v>
                </c:pt>
                <c:pt idx="21">
                  <c:v>1628.2821176470586</c:v>
                </c:pt>
                <c:pt idx="22">
                  <c:v>1847.4739411764706</c:v>
                </c:pt>
                <c:pt idx="23">
                  <c:v>2094.6827647058822</c:v>
                </c:pt>
                <c:pt idx="24">
                  <c:v>2373.2047058823528</c:v>
                </c:pt>
                <c:pt idx="25">
                  <c:v>2686.3358823529411</c:v>
                </c:pt>
                <c:pt idx="26">
                  <c:v>3039.0204705882352</c:v>
                </c:pt>
                <c:pt idx="27">
                  <c:v>3444.44294117647</c:v>
                </c:pt>
                <c:pt idx="28">
                  <c:v>3889.4188235294114</c:v>
                </c:pt>
                <c:pt idx="29">
                  <c:v>4383.836470588235</c:v>
                </c:pt>
                <c:pt idx="30">
                  <c:v>4944.1764705882342</c:v>
                </c:pt>
                <c:pt idx="31">
                  <c:v>5586.9194117647057</c:v>
                </c:pt>
                <c:pt idx="32">
                  <c:v>6295.5847058823529</c:v>
                </c:pt>
                <c:pt idx="33">
                  <c:v>7103.1335294117644</c:v>
                </c:pt>
                <c:pt idx="34">
                  <c:v>8009.5658823529402</c:v>
                </c:pt>
                <c:pt idx="35">
                  <c:v>9014.8817647058841</c:v>
                </c:pt>
                <c:pt idx="36">
                  <c:v>10168.522941176469</c:v>
                </c:pt>
                <c:pt idx="37">
                  <c:v>11454.00882352941</c:v>
                </c:pt>
                <c:pt idx="38">
                  <c:v>12904.300588235294</c:v>
                </c:pt>
                <c:pt idx="39">
                  <c:v>14535.878823529411</c:v>
                </c:pt>
                <c:pt idx="40">
                  <c:v>16365.224117647056</c:v>
                </c:pt>
                <c:pt idx="41">
                  <c:v>18425.297647058826</c:v>
                </c:pt>
                <c:pt idx="42">
                  <c:v>20749.06058823529</c:v>
                </c:pt>
                <c:pt idx="43">
                  <c:v>23352.993529411764</c:v>
                </c:pt>
                <c:pt idx="44">
                  <c:v>26286.538235294112</c:v>
                </c:pt>
                <c:pt idx="45">
                  <c:v>29582.655882352938</c:v>
                </c:pt>
                <c:pt idx="46">
                  <c:v>33290.788235294116</c:v>
                </c:pt>
                <c:pt idx="47">
                  <c:v>37575.741176470583</c:v>
                </c:pt>
                <c:pt idx="48">
                  <c:v>42190.305882352943</c:v>
                </c:pt>
                <c:pt idx="49">
                  <c:v>47464.094117647059</c:v>
                </c:pt>
                <c:pt idx="50">
                  <c:v>53397.105882352938</c:v>
                </c:pt>
                <c:pt idx="51">
                  <c:v>60154.147058823524</c:v>
                </c:pt>
                <c:pt idx="52">
                  <c:v>67735.217647058831</c:v>
                </c:pt>
                <c:pt idx="53">
                  <c:v>76140.317647058822</c:v>
                </c:pt>
                <c:pt idx="54">
                  <c:v>85699.058823529413</c:v>
                </c:pt>
                <c:pt idx="55">
                  <c:v>96411.441176470573</c:v>
                </c:pt>
                <c:pt idx="56">
                  <c:v>108442.27058823529</c:v>
                </c:pt>
                <c:pt idx="57">
                  <c:v>121956.35294117648</c:v>
                </c:pt>
                <c:pt idx="58">
                  <c:v>137283.29999999999</c:v>
                </c:pt>
                <c:pt idx="59">
                  <c:v>154423.11176470586</c:v>
                </c:pt>
                <c:pt idx="60">
                  <c:v>173870.20588235292</c:v>
                </c:pt>
                <c:pt idx="61">
                  <c:v>195459.77647058823</c:v>
                </c:pt>
                <c:pt idx="62">
                  <c:v>220015.85294117645</c:v>
                </c:pt>
                <c:pt idx="63">
                  <c:v>247538.43529411763</c:v>
                </c:pt>
                <c:pt idx="64">
                  <c:v>278521.94117647054</c:v>
                </c:pt>
                <c:pt idx="65">
                  <c:v>313295.98235294118</c:v>
                </c:pt>
                <c:pt idx="66">
                  <c:v>352519.78235294117</c:v>
                </c:pt>
                <c:pt idx="67">
                  <c:v>396522.95294117642</c:v>
                </c:pt>
                <c:pt idx="68">
                  <c:v>446129.52352941176</c:v>
                </c:pt>
                <c:pt idx="69">
                  <c:v>501833.91176470579</c:v>
                </c:pt>
                <c:pt idx="70">
                  <c:v>564624.95294117637</c:v>
                </c:pt>
                <c:pt idx="71">
                  <c:v>635326.67647058808</c:v>
                </c:pt>
                <c:pt idx="72">
                  <c:v>714763.11176470574</c:v>
                </c:pt>
                <c:pt idx="73">
                  <c:v>804087.89999999991</c:v>
                </c:pt>
                <c:pt idx="74">
                  <c:v>904619.488235294</c:v>
                </c:pt>
                <c:pt idx="75">
                  <c:v>1017676.3235294117</c:v>
                </c:pt>
                <c:pt idx="76">
                  <c:v>1144906.4647058821</c:v>
                </c:pt>
                <c:pt idx="77">
                  <c:v>1186602.3529411764</c:v>
                </c:pt>
              </c:numCache>
            </c:numRef>
          </c:xVal>
          <c:yVal>
            <c:numRef>
              <c:f>Dimensionless!$D$3:$D$80</c:f>
              <c:numCache>
                <c:formatCode>General</c:formatCode>
                <c:ptCount val="78"/>
                <c:pt idx="0">
                  <c:v>1759.5509974477063</c:v>
                </c:pt>
                <c:pt idx="1">
                  <c:v>3516.2621719889453</c:v>
                </c:pt>
                <c:pt idx="2">
                  <c:v>5486.5021835605221</c:v>
                </c:pt>
                <c:pt idx="3">
                  <c:v>7697.3571035589785</c:v>
                </c:pt>
                <c:pt idx="4">
                  <c:v>10169.120789298673</c:v>
                </c:pt>
                <c:pt idx="5">
                  <c:v>12939.028079996402</c:v>
                </c:pt>
                <c:pt idx="6">
                  <c:v>16037.517278140003</c:v>
                </c:pt>
                <c:pt idx="7">
                  <c:v>19501.790363065978</c:v>
                </c:pt>
                <c:pt idx="8">
                  <c:v>23375.808902028028</c:v>
                </c:pt>
                <c:pt idx="9">
                  <c:v>27703.512371987817</c:v>
                </c:pt>
                <c:pt idx="10">
                  <c:v>32532.20681593</c:v>
                </c:pt>
                <c:pt idx="11">
                  <c:v>37919.34022979287</c:v>
                </c:pt>
                <c:pt idx="12">
                  <c:v>43915.561943579109</c:v>
                </c:pt>
                <c:pt idx="13">
                  <c:v>50588.442064236871</c:v>
                </c:pt>
                <c:pt idx="14">
                  <c:v>58005.536768565871</c:v>
                </c:pt>
                <c:pt idx="15">
                  <c:v>66237.788696135496</c:v>
                </c:pt>
                <c:pt idx="16">
                  <c:v>75356.159804891766</c:v>
                </c:pt>
                <c:pt idx="17">
                  <c:v>85448.587248843178</c:v>
                </c:pt>
                <c:pt idx="18">
                  <c:v>96586.163381194478</c:v>
                </c:pt>
                <c:pt idx="19">
                  <c:v>108860.42892666844</c:v>
                </c:pt>
                <c:pt idx="20">
                  <c:v>122352.97004972867</c:v>
                </c:pt>
                <c:pt idx="21">
                  <c:v>137145.65750886904</c:v>
                </c:pt>
                <c:pt idx="22">
                  <c:v>153313.97346899417</c:v>
                </c:pt>
                <c:pt idx="23">
                  <c:v>170937.27734091398</c:v>
                </c:pt>
                <c:pt idx="24">
                  <c:v>190075.22265870994</c:v>
                </c:pt>
                <c:pt idx="25">
                  <c:v>210774.62972426723</c:v>
                </c:pt>
                <c:pt idx="26">
                  <c:v>233069.56773070485</c:v>
                </c:pt>
                <c:pt idx="27">
                  <c:v>256961.04906981718</c:v>
                </c:pt>
                <c:pt idx="28">
                  <c:v>282433.92665553925</c:v>
                </c:pt>
                <c:pt idx="29">
                  <c:v>309429.60544732149</c:v>
                </c:pt>
                <c:pt idx="30">
                  <c:v>337855.92228171357</c:v>
                </c:pt>
                <c:pt idx="31">
                  <c:v>367573.12343881949</c:v>
                </c:pt>
                <c:pt idx="32">
                  <c:v>398393.27849596256</c:v>
                </c:pt>
                <c:pt idx="33">
                  <c:v>430079.60933880962</c:v>
                </c:pt>
                <c:pt idx="34">
                  <c:v>462342.37725734228</c:v>
                </c:pt>
                <c:pt idx="35">
                  <c:v>494851.91930334485</c:v>
                </c:pt>
                <c:pt idx="36">
                  <c:v>527231.37121100386</c:v>
                </c:pt>
                <c:pt idx="37">
                  <c:v>559080.45490550867</c:v>
                </c:pt>
                <c:pt idx="38">
                  <c:v>589996.27409607871</c:v>
                </c:pt>
                <c:pt idx="39">
                  <c:v>619577.27965667809</c:v>
                </c:pt>
                <c:pt idx="40">
                  <c:v>647461.8409240857</c:v>
                </c:pt>
                <c:pt idx="41">
                  <c:v>673349.80736555438</c:v>
                </c:pt>
                <c:pt idx="42">
                  <c:v>697020.56877274846</c:v>
                </c:pt>
                <c:pt idx="43">
                  <c:v>718344.02390224149</c:v>
                </c:pt>
                <c:pt idx="44">
                  <c:v>737305.08437253709</c:v>
                </c:pt>
                <c:pt idx="45">
                  <c:v>753983.07972902397</c:v>
                </c:pt>
                <c:pt idx="46">
                  <c:v>768544.73672583385</c:v>
                </c:pt>
                <c:pt idx="47">
                  <c:v>781230.15203054564</c:v>
                </c:pt>
                <c:pt idx="48">
                  <c:v>792318.02513249731</c:v>
                </c:pt>
                <c:pt idx="49">
                  <c:v>802087.46317827527</c:v>
                </c:pt>
                <c:pt idx="50">
                  <c:v>810814.3619368613</c:v>
                </c:pt>
                <c:pt idx="51">
                  <c:v>818736.77406403096</c:v>
                </c:pt>
                <c:pt idx="52">
                  <c:v>826054.84245486849</c:v>
                </c:pt>
                <c:pt idx="53">
                  <c:v>832916.9568874645</c:v>
                </c:pt>
                <c:pt idx="54">
                  <c:v>839436.99725298851</c:v>
                </c:pt>
                <c:pt idx="55">
                  <c:v>845694.32709347375</c:v>
                </c:pt>
                <c:pt idx="56">
                  <c:v>851751.04955399036</c:v>
                </c:pt>
                <c:pt idx="57">
                  <c:v>857641.65478668665</c:v>
                </c:pt>
                <c:pt idx="58">
                  <c:v>863397.17966917332</c:v>
                </c:pt>
                <c:pt idx="59">
                  <c:v>869038.3063548177</c:v>
                </c:pt>
                <c:pt idx="60">
                  <c:v>874589.16393513896</c:v>
                </c:pt>
                <c:pt idx="61">
                  <c:v>880060.07827489485</c:v>
                </c:pt>
                <c:pt idx="62">
                  <c:v>885461.37399200234</c:v>
                </c:pt>
                <c:pt idx="63">
                  <c:v>890803.37364046916</c:v>
                </c:pt>
                <c:pt idx="64">
                  <c:v>896096.39691374486</c:v>
                </c:pt>
                <c:pt idx="65">
                  <c:v>901343.86486491433</c:v>
                </c:pt>
                <c:pt idx="66">
                  <c:v>906556.09221686155</c:v>
                </c:pt>
                <c:pt idx="67">
                  <c:v>911729.60305366141</c:v>
                </c:pt>
                <c:pt idx="68">
                  <c:v>916878.15422486956</c:v>
                </c:pt>
                <c:pt idx="69">
                  <c:v>921998.26801781508</c:v>
                </c:pt>
                <c:pt idx="70">
                  <c:v>927096.80384133942</c:v>
                </c:pt>
                <c:pt idx="71">
                  <c:v>932173.7287779263</c:v>
                </c:pt>
                <c:pt idx="72">
                  <c:v>937232.45377160003</c:v>
                </c:pt>
                <c:pt idx="73">
                  <c:v>942276.38749694743</c:v>
                </c:pt>
                <c:pt idx="74">
                  <c:v>947305.49422243645</c:v>
                </c:pt>
                <c:pt idx="75">
                  <c:v>952323.17955982639</c:v>
                </c:pt>
                <c:pt idx="76">
                  <c:v>957329.40589008713</c:v>
                </c:pt>
                <c:pt idx="77">
                  <c:v>958846.52637570293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8B-4914-A77E-BE75BE6BAB3C}"/>
            </c:ext>
          </c:extLst>
        </c:ser>
        <c:ser>
          <c:idx val="1"/>
          <c:order val="1"/>
          <c:tx>
            <c:v>PD-Dash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Dimensionless!$C$3:$C$80</c:f>
              <c:numCache>
                <c:formatCode>General</c:formatCode>
                <c:ptCount val="78"/>
                <c:pt idx="0">
                  <c:v>16.480588235294114</c:v>
                </c:pt>
                <c:pt idx="1">
                  <c:v>34.609235294117639</c:v>
                </c:pt>
                <c:pt idx="2">
                  <c:v>56.033999999999992</c:v>
                </c:pt>
                <c:pt idx="3">
                  <c:v>79.106823529411756</c:v>
                </c:pt>
                <c:pt idx="4">
                  <c:v>105.47576470588234</c:v>
                </c:pt>
                <c:pt idx="5">
                  <c:v>135.14082352941176</c:v>
                </c:pt>
                <c:pt idx="6">
                  <c:v>169.7500588235294</c:v>
                </c:pt>
                <c:pt idx="7">
                  <c:v>206.00735294117646</c:v>
                </c:pt>
                <c:pt idx="8">
                  <c:v>248.85688235294117</c:v>
                </c:pt>
                <c:pt idx="9">
                  <c:v>296.65058823529409</c:v>
                </c:pt>
                <c:pt idx="10">
                  <c:v>349.38847058823529</c:v>
                </c:pt>
                <c:pt idx="11">
                  <c:v>410.36664705882345</c:v>
                </c:pt>
                <c:pt idx="12">
                  <c:v>477.93705882352941</c:v>
                </c:pt>
                <c:pt idx="13">
                  <c:v>553.74776470588222</c:v>
                </c:pt>
                <c:pt idx="14">
                  <c:v>639.44682352941174</c:v>
                </c:pt>
                <c:pt idx="15">
                  <c:v>736.68229411764696</c:v>
                </c:pt>
                <c:pt idx="16">
                  <c:v>845.45417647058821</c:v>
                </c:pt>
                <c:pt idx="17">
                  <c:v>967.41052941176474</c:v>
                </c:pt>
                <c:pt idx="18">
                  <c:v>1104.1994117647057</c:v>
                </c:pt>
                <c:pt idx="19">
                  <c:v>1259.1169411764704</c:v>
                </c:pt>
                <c:pt idx="20">
                  <c:v>1432.1631176470587</c:v>
                </c:pt>
                <c:pt idx="21">
                  <c:v>1628.2821176470586</c:v>
                </c:pt>
                <c:pt idx="22">
                  <c:v>1847.4739411764706</c:v>
                </c:pt>
                <c:pt idx="23">
                  <c:v>2094.6827647058822</c:v>
                </c:pt>
                <c:pt idx="24">
                  <c:v>2373.2047058823528</c:v>
                </c:pt>
                <c:pt idx="25">
                  <c:v>2686.3358823529411</c:v>
                </c:pt>
                <c:pt idx="26">
                  <c:v>3039.0204705882352</c:v>
                </c:pt>
                <c:pt idx="27">
                  <c:v>3444.44294117647</c:v>
                </c:pt>
                <c:pt idx="28">
                  <c:v>3889.4188235294114</c:v>
                </c:pt>
                <c:pt idx="29">
                  <c:v>4383.836470588235</c:v>
                </c:pt>
                <c:pt idx="30">
                  <c:v>4944.1764705882342</c:v>
                </c:pt>
                <c:pt idx="31">
                  <c:v>5586.9194117647057</c:v>
                </c:pt>
                <c:pt idx="32">
                  <c:v>6295.5847058823529</c:v>
                </c:pt>
                <c:pt idx="33">
                  <c:v>7103.1335294117644</c:v>
                </c:pt>
                <c:pt idx="34">
                  <c:v>8009.5658823529402</c:v>
                </c:pt>
                <c:pt idx="35">
                  <c:v>9014.8817647058841</c:v>
                </c:pt>
                <c:pt idx="36">
                  <c:v>10168.522941176469</c:v>
                </c:pt>
                <c:pt idx="37">
                  <c:v>11454.00882352941</c:v>
                </c:pt>
                <c:pt idx="38">
                  <c:v>12904.300588235294</c:v>
                </c:pt>
                <c:pt idx="39">
                  <c:v>14535.878823529411</c:v>
                </c:pt>
                <c:pt idx="40">
                  <c:v>16365.224117647056</c:v>
                </c:pt>
                <c:pt idx="41">
                  <c:v>18425.297647058826</c:v>
                </c:pt>
                <c:pt idx="42">
                  <c:v>20749.06058823529</c:v>
                </c:pt>
                <c:pt idx="43">
                  <c:v>23352.993529411764</c:v>
                </c:pt>
                <c:pt idx="44">
                  <c:v>26286.538235294112</c:v>
                </c:pt>
                <c:pt idx="45">
                  <c:v>29582.655882352938</c:v>
                </c:pt>
                <c:pt idx="46">
                  <c:v>33290.788235294116</c:v>
                </c:pt>
                <c:pt idx="47">
                  <c:v>37575.741176470583</c:v>
                </c:pt>
                <c:pt idx="48">
                  <c:v>42190.305882352943</c:v>
                </c:pt>
                <c:pt idx="49">
                  <c:v>47464.094117647059</c:v>
                </c:pt>
                <c:pt idx="50">
                  <c:v>53397.105882352938</c:v>
                </c:pt>
                <c:pt idx="51">
                  <c:v>60154.147058823524</c:v>
                </c:pt>
                <c:pt idx="52">
                  <c:v>67735.217647058831</c:v>
                </c:pt>
                <c:pt idx="53">
                  <c:v>76140.317647058822</c:v>
                </c:pt>
                <c:pt idx="54">
                  <c:v>85699.058823529413</c:v>
                </c:pt>
                <c:pt idx="55">
                  <c:v>96411.441176470573</c:v>
                </c:pt>
                <c:pt idx="56">
                  <c:v>108442.27058823529</c:v>
                </c:pt>
                <c:pt idx="57">
                  <c:v>121956.35294117648</c:v>
                </c:pt>
                <c:pt idx="58">
                  <c:v>137283.29999999999</c:v>
                </c:pt>
                <c:pt idx="59">
                  <c:v>154423.11176470586</c:v>
                </c:pt>
                <c:pt idx="60">
                  <c:v>173870.20588235292</c:v>
                </c:pt>
                <c:pt idx="61">
                  <c:v>195459.77647058823</c:v>
                </c:pt>
                <c:pt idx="62">
                  <c:v>220015.85294117645</c:v>
                </c:pt>
                <c:pt idx="63">
                  <c:v>247538.43529411763</c:v>
                </c:pt>
                <c:pt idx="64">
                  <c:v>278521.94117647054</c:v>
                </c:pt>
                <c:pt idx="65">
                  <c:v>313295.98235294118</c:v>
                </c:pt>
                <c:pt idx="66">
                  <c:v>352519.78235294117</c:v>
                </c:pt>
                <c:pt idx="67">
                  <c:v>396522.95294117642</c:v>
                </c:pt>
                <c:pt idx="68">
                  <c:v>446129.52352941176</c:v>
                </c:pt>
                <c:pt idx="69">
                  <c:v>501833.91176470579</c:v>
                </c:pt>
                <c:pt idx="70">
                  <c:v>564624.95294117637</c:v>
                </c:pt>
                <c:pt idx="71">
                  <c:v>635326.67647058808</c:v>
                </c:pt>
                <c:pt idx="72">
                  <c:v>714763.11176470574</c:v>
                </c:pt>
                <c:pt idx="73">
                  <c:v>804087.89999999991</c:v>
                </c:pt>
                <c:pt idx="74">
                  <c:v>904619.488235294</c:v>
                </c:pt>
                <c:pt idx="75">
                  <c:v>1017676.3235294117</c:v>
                </c:pt>
                <c:pt idx="76">
                  <c:v>1144906.4647058821</c:v>
                </c:pt>
                <c:pt idx="77">
                  <c:v>1186602.3529411764</c:v>
                </c:pt>
              </c:numCache>
            </c:numRef>
          </c:xVal>
          <c:yVal>
            <c:numRef>
              <c:f>Dimensionless!$E$3:$E$80</c:f>
              <c:numCache>
                <c:formatCode>General</c:formatCode>
                <c:ptCount val="78"/>
                <c:pt idx="0">
                  <c:v>1759.5509974477063</c:v>
                </c:pt>
                <c:pt idx="1">
                  <c:v>3353.7213332150923</c:v>
                </c:pt>
                <c:pt idx="2">
                  <c:v>5152.9354148795073</c:v>
                </c:pt>
                <c:pt idx="3">
                  <c:v>7580.0740114232785</c:v>
                </c:pt>
                <c:pt idx="4">
                  <c:v>9887.0547429587787</c:v>
                </c:pt>
                <c:pt idx="5">
                  <c:v>12618.466546511872</c:v>
                </c:pt>
                <c:pt idx="6">
                  <c:v>15197.351781370999</c:v>
                </c:pt>
                <c:pt idx="7">
                  <c:v>19683.369800715765</c:v>
                </c:pt>
                <c:pt idx="8">
                  <c:v>22499.107668587283</c:v>
                </c:pt>
                <c:pt idx="9">
                  <c:v>26861.607744578014</c:v>
                </c:pt>
                <c:pt idx="10">
                  <c:v>31990.100691116942</c:v>
                </c:pt>
                <c:pt idx="11">
                  <c:v>36253.951893293408</c:v>
                </c:pt>
                <c:pt idx="12">
                  <c:v>42412.299926780659</c:v>
                </c:pt>
                <c:pt idx="13">
                  <c:v>48741.037403065471</c:v>
                </c:pt>
                <c:pt idx="14">
                  <c:v>55342.937409223996</c:v>
                </c:pt>
                <c:pt idx="15">
                  <c:v>62369.773078366517</c:v>
                </c:pt>
                <c:pt idx="16">
                  <c:v>70874.611799878228</c:v>
                </c:pt>
                <c:pt idx="17">
                  <c:v>80057.4987783713</c:v>
                </c:pt>
                <c:pt idx="18">
                  <c:v>89905.735044281697</c:v>
                </c:pt>
                <c:pt idx="19">
                  <c:v>99761.051880235143</c:v>
                </c:pt>
                <c:pt idx="20">
                  <c:v>111666.84034227939</c:v>
                </c:pt>
                <c:pt idx="21">
                  <c:v>122816.59840025794</c:v>
                </c:pt>
                <c:pt idx="22">
                  <c:v>136275.80594962591</c:v>
                </c:pt>
                <c:pt idx="23">
                  <c:v>149328.12814140061</c:v>
                </c:pt>
                <c:pt idx="24">
                  <c:v>163068.88318122004</c:v>
                </c:pt>
                <c:pt idx="25">
                  <c:v>177579.12377293876</c:v>
                </c:pt>
                <c:pt idx="26">
                  <c:v>192111.52188724751</c:v>
                </c:pt>
                <c:pt idx="27">
                  <c:v>202980.47153961312</c:v>
                </c:pt>
                <c:pt idx="28">
                  <c:v>222651.81889742243</c:v>
                </c:pt>
                <c:pt idx="29">
                  <c:v>239361.68528713577</c:v>
                </c:pt>
                <c:pt idx="30">
                  <c:v>250820.44265640102</c:v>
                </c:pt>
                <c:pt idx="31">
                  <c:v>258311.05621176638</c:v>
                </c:pt>
                <c:pt idx="32">
                  <c:v>273797.6565541547</c:v>
                </c:pt>
                <c:pt idx="33">
                  <c:v>278710.37945443037</c:v>
                </c:pt>
                <c:pt idx="34">
                  <c:v>285085.54924376146</c:v>
                </c:pt>
                <c:pt idx="35">
                  <c:v>291519.99178956338</c:v>
                </c:pt>
                <c:pt idx="36">
                  <c:v>285401.74038608099</c:v>
                </c:pt>
                <c:pt idx="37">
                  <c:v>283783.50214975432</c:v>
                </c:pt>
                <c:pt idx="38">
                  <c:v>275080.52757063991</c:v>
                </c:pt>
                <c:pt idx="39">
                  <c:v>263539.86772170372</c:v>
                </c:pt>
                <c:pt idx="40">
                  <c:v>249453.77782464665</c:v>
                </c:pt>
                <c:pt idx="41">
                  <c:v>231541.97185249542</c:v>
                </c:pt>
                <c:pt idx="42">
                  <c:v>211358.07525998165</c:v>
                </c:pt>
                <c:pt idx="43">
                  <c:v>191236.30328159229</c:v>
                </c:pt>
                <c:pt idx="44">
                  <c:v>169903.88455124456</c:v>
                </c:pt>
                <c:pt idx="45">
                  <c:v>149685.00832446961</c:v>
                </c:pt>
                <c:pt idx="46">
                  <c:v>130731.32059358194</c:v>
                </c:pt>
                <c:pt idx="47">
                  <c:v>111241.3342105496</c:v>
                </c:pt>
                <c:pt idx="48">
                  <c:v>101374.83978927227</c:v>
                </c:pt>
                <c:pt idx="49">
                  <c:v>87924.942412001692</c:v>
                </c:pt>
                <c:pt idx="50">
                  <c:v>78542.088827274303</c:v>
                </c:pt>
                <c:pt idx="51">
                  <c:v>70528.790888217758</c:v>
                </c:pt>
                <c:pt idx="52">
                  <c:v>65385.350187700358</c:v>
                </c:pt>
                <c:pt idx="53">
                  <c:v>62162.683683516945</c:v>
                </c:pt>
                <c:pt idx="54">
                  <c:v>58455.534311594536</c:v>
                </c:pt>
                <c:pt idx="55">
                  <c:v>56315.968564367235</c:v>
                </c:pt>
                <c:pt idx="56">
                  <c:v>54593.470945478453</c:v>
                </c:pt>
                <c:pt idx="57">
                  <c:v>53159.120392624944</c:v>
                </c:pt>
                <c:pt idx="58">
                  <c:v>51552.174485068848</c:v>
                </c:pt>
                <c:pt idx="59">
                  <c:v>50824.381773546062</c:v>
                </c:pt>
                <c:pt idx="60">
                  <c:v>49628.430061346822</c:v>
                </c:pt>
                <c:pt idx="61">
                  <c:v>49530.56799198845</c:v>
                </c:pt>
                <c:pt idx="62">
                  <c:v>48394.159613010015</c:v>
                </c:pt>
                <c:pt idx="63">
                  <c:v>48046.008814354282</c:v>
                </c:pt>
                <c:pt idx="64">
                  <c:v>47580.900701254999</c:v>
                </c:pt>
                <c:pt idx="65">
                  <c:v>47276.950593237671</c:v>
                </c:pt>
                <c:pt idx="66">
                  <c:v>46844.345822752563</c:v>
                </c:pt>
                <c:pt idx="67">
                  <c:v>46619.726866443736</c:v>
                </c:pt>
                <c:pt idx="68">
                  <c:v>46302.7508985397</c:v>
                </c:pt>
                <c:pt idx="69">
                  <c:v>46126.468933488504</c:v>
                </c:pt>
                <c:pt idx="70">
                  <c:v>45846.676460352792</c:v>
                </c:pt>
                <c:pt idx="71">
                  <c:v>45621.318486112847</c:v>
                </c:pt>
                <c:pt idx="72">
                  <c:v>45518.029662993737</c:v>
                </c:pt>
                <c:pt idx="73">
                  <c:v>45404.709678911284</c:v>
                </c:pt>
                <c:pt idx="74">
                  <c:v>45253.716092146307</c:v>
                </c:pt>
                <c:pt idx="75">
                  <c:v>45166.48244662222</c:v>
                </c:pt>
                <c:pt idx="76">
                  <c:v>45049.552223214298</c:v>
                </c:pt>
                <c:pt idx="77">
                  <c:v>43174.970341635271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8B-4914-A77E-BE75BE6BA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737007"/>
        <c:axId val="569737487"/>
      </c:scatterChart>
      <c:valAx>
        <c:axId val="5697370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37487"/>
        <c:crosses val="autoZero"/>
        <c:crossBetween val="midCat"/>
      </c:valAx>
      <c:valAx>
        <c:axId val="569737487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3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35478121205004"/>
          <c:y val="0.45328557512785128"/>
          <c:w val="9.7267109335213695E-2"/>
          <c:h val="0.14497524149687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0</xdr:row>
      <xdr:rowOff>53340</xdr:rowOff>
    </xdr:from>
    <xdr:to>
      <xdr:col>15</xdr:col>
      <xdr:colOff>0</xdr:colOff>
      <xdr:row>12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128745-91C8-4B96-8042-A13F2DD66983}"/>
            </a:ext>
          </a:extLst>
        </xdr:cNvPr>
        <xdr:cNvSpPr txBox="1"/>
      </xdr:nvSpPr>
      <xdr:spPr>
        <a:xfrm>
          <a:off x="4145280" y="53340"/>
          <a:ext cx="5265420" cy="2278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 drawdown test is perfomed in a well.</a:t>
          </a:r>
          <a:r>
            <a:rPr lang="en-IN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During the test, the well was produced at a stabilized rate of 500 stb/d for a period of 72 hrs. The initial reservoir pressure was 6102 psia. The recorded flowing bottomhole pressure versus time is given. </a:t>
          </a:r>
          <a:endParaRPr lang="en-IN" sz="1200" b="1">
            <a:solidFill>
              <a:sysClr val="windowText" lastClr="000000"/>
            </a:solidFill>
            <a:effectLst/>
          </a:endParaRPr>
        </a:p>
        <a:p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𝐹𝑜𝑟𝑚𝑎𝑡𝑖𝑜𝑛 𝑡ℎ𝑖𝑐𝑘𝑛𝑒𝑠𝑠=70 𝑓𝑡</a:t>
          </a:r>
          <a:endParaRPr lang="en-IN" sz="1200" b="1">
            <a:solidFill>
              <a:sysClr val="windowText" lastClr="000000"/>
            </a:solidFill>
            <a:effectLst/>
          </a:endParaRPr>
        </a:p>
        <a:p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𝑃𝑜𝑟𝑜𝑠𝑖𝑡𝑦=10 %</a:t>
          </a:r>
          <a:endParaRPr lang="en-IN" sz="1200" b="1">
            <a:solidFill>
              <a:sysClr val="windowText" lastClr="000000"/>
            </a:solidFill>
            <a:effectLst/>
          </a:endParaRPr>
        </a:p>
        <a:p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𝑇𝑜𝑡𝑎𝑙 𝐶𝑜𝑚𝑝𝑟𝑒𝑠𝑠𝑖𝑏𝑖𝑙𝑖𝑡𝑦=17∗〖10〗^(−6)  〖𝑝𝑠𝑖〗^(−1)</a:t>
          </a:r>
          <a:endParaRPr lang="en-IN" sz="1200" b="1">
            <a:solidFill>
              <a:sysClr val="windowText" lastClr="000000"/>
            </a:solidFill>
            <a:effectLst/>
          </a:endParaRPr>
        </a:p>
        <a:p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𝑂𝑖𝑙 𝑓𝑜𝑟𝑚𝑎𝑡𝑖𝑜𝑛 𝑣𝑜𝑙𝑢𝑚𝑒 𝑓𝑎𝑐𝑡𝑜𝑟=1.136 𝑠𝑡𝑏/𝑑</a:t>
          </a:r>
          <a:endParaRPr lang="en-IN" sz="1200" b="1">
            <a:solidFill>
              <a:sysClr val="windowText" lastClr="000000"/>
            </a:solidFill>
            <a:effectLst/>
          </a:endParaRPr>
        </a:p>
        <a:p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𝑂𝑖𝑙 𝑣𝑖𝑠𝑐𝑜𝑠𝑖𝑡𝑦=0.8 𝑐𝑝</a:t>
          </a:r>
          <a:endParaRPr lang="en-IN" sz="1200" b="1">
            <a:solidFill>
              <a:sysClr val="windowText" lastClr="000000"/>
            </a:solidFill>
            <a:effectLst/>
          </a:endParaRPr>
        </a:p>
        <a:p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𝑊𝑒𝑙𝑙𝑏𝑜𝑟𝑒 𝑟𝑎𝑑𝑖𝑢𝑠=0.2 𝑓𝑡</a:t>
          </a:r>
          <a:endParaRPr lang="en-IN" sz="1200" b="1">
            <a:solidFill>
              <a:sysClr val="windowText" lastClr="000000"/>
            </a:solidFill>
            <a:effectLst/>
          </a:endParaRPr>
        </a:p>
        <a:p>
          <a:r>
            <a:rPr lang="en-IN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Interpret the drawdown test.</a:t>
          </a:r>
          <a:endParaRPr lang="en-IN" sz="12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15</xdr:col>
      <xdr:colOff>15240</xdr:colOff>
      <xdr:row>1</xdr:row>
      <xdr:rowOff>15240</xdr:rowOff>
    </xdr:from>
    <xdr:to>
      <xdr:col>25</xdr:col>
      <xdr:colOff>586740</xdr:colOff>
      <xdr:row>19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8350DB-DF85-4039-AEDE-43BBD108C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1</xdr:row>
      <xdr:rowOff>38100</xdr:rowOff>
    </xdr:from>
    <xdr:to>
      <xdr:col>36</xdr:col>
      <xdr:colOff>0</xdr:colOff>
      <xdr:row>20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C8F3F7-8F01-5C7C-C1A5-080BD8388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7620</xdr:colOff>
      <xdr:row>1</xdr:row>
      <xdr:rowOff>30480</xdr:rowOff>
    </xdr:from>
    <xdr:to>
      <xdr:col>47</xdr:col>
      <xdr:colOff>594360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4C9121-3AE8-4177-809C-11A57C9E1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42</xdr:col>
      <xdr:colOff>60960</xdr:colOff>
      <xdr:row>9</xdr:row>
      <xdr:rowOff>159840</xdr:rowOff>
    </xdr:from>
    <xdr:to>
      <xdr:col>42</xdr:col>
      <xdr:colOff>61320</xdr:colOff>
      <xdr:row>9</xdr:row>
      <xdr:rowOff>160200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CACD08B-AA8D-8653-F93A-0BC6D7BF1933}"/>
                </a:ext>
              </a:extLst>
            </xdr14:cNvPr>
            <xdr14:cNvContentPartPr/>
          </xdr14:nvContentPartPr>
          <xdr14:nvPr macro=""/>
          <xdr14:xfrm>
            <a:off x="26464260" y="180576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CACD08B-AA8D-8653-F93A-0BC6D7BF193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6458140" y="1799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1</xdr:row>
      <xdr:rowOff>152400</xdr:rowOff>
    </xdr:from>
    <xdr:to>
      <xdr:col>19</xdr:col>
      <xdr:colOff>601980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9FD6B-30A2-C030-D715-00C0A18CB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2T07:30:39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7283 211 24575,'0'0'-8191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4523-3B72-41D2-9858-98BDA46AABC5}">
  <dimension ref="A1:AT80"/>
  <sheetViews>
    <sheetView tabSelected="1" workbookViewId="0">
      <selection activeCell="T42" sqref="T42"/>
    </sheetView>
  </sheetViews>
  <sheetFormatPr defaultRowHeight="14.5" x14ac:dyDescent="0.35"/>
  <cols>
    <col min="5" max="5" width="12.6328125" customWidth="1"/>
    <col min="14" max="14" width="12" customWidth="1"/>
    <col min="15" max="15" width="3.453125" customWidth="1"/>
    <col min="20" max="20" width="8.6328125" customWidth="1"/>
    <col min="21" max="21" width="8.90625" hidden="1" customWidth="1"/>
    <col min="22" max="22" width="13.1796875" customWidth="1"/>
    <col min="23" max="23" width="11" bestFit="1" customWidth="1"/>
    <col min="27" max="27" width="11" bestFit="1" customWidth="1"/>
  </cols>
  <sheetData>
    <row r="1" spans="1:10" x14ac:dyDescent="0.35">
      <c r="A1" s="10" t="s">
        <v>0</v>
      </c>
      <c r="B1" s="11" t="s">
        <v>1</v>
      </c>
      <c r="C1" s="10" t="s">
        <v>11</v>
      </c>
      <c r="D1" s="10" t="s">
        <v>20</v>
      </c>
      <c r="E1" s="10" t="s">
        <v>21</v>
      </c>
    </row>
    <row r="2" spans="1:10" x14ac:dyDescent="0.35">
      <c r="A2">
        <v>0</v>
      </c>
      <c r="B2" s="1">
        <v>6102</v>
      </c>
      <c r="C2">
        <f>$B$2-B2</f>
        <v>0</v>
      </c>
    </row>
    <row r="3" spans="1:10" x14ac:dyDescent="0.35">
      <c r="A3">
        <v>1E-3</v>
      </c>
      <c r="B3">
        <v>6096.7846369260305</v>
      </c>
      <c r="C3">
        <f>$B$2-B3</f>
        <v>5.2153630739694563</v>
      </c>
      <c r="D3">
        <f>ABS(B3-B2)/(A3-A2)</f>
        <v>5215.3630739694563</v>
      </c>
      <c r="E3">
        <f>D3*A3</f>
        <v>5.2153630739694563</v>
      </c>
    </row>
    <row r="4" spans="1:10" x14ac:dyDescent="0.35">
      <c r="A4">
        <v>2.0999999999999999E-3</v>
      </c>
      <c r="B4">
        <v>6091.5776911741759</v>
      </c>
      <c r="C4">
        <f t="shared" ref="C4:C67" si="0">$B$2-B4</f>
        <v>10.422308825824075</v>
      </c>
      <c r="D4">
        <f t="shared" ref="D4:D67" si="1">ABS(B4-B3)/(A4-A3)</f>
        <v>4733.5870471405633</v>
      </c>
      <c r="E4">
        <f t="shared" ref="E4:E67" si="2">D4*A4</f>
        <v>9.9405327989951822</v>
      </c>
    </row>
    <row r="5" spans="1:10" x14ac:dyDescent="0.35">
      <c r="A5">
        <v>3.3999999999999998E-3</v>
      </c>
      <c r="B5">
        <v>6085.7378394062462</v>
      </c>
      <c r="C5">
        <f t="shared" si="0"/>
        <v>16.262160593753833</v>
      </c>
      <c r="D5">
        <f t="shared" si="1"/>
        <v>4492.1936676382757</v>
      </c>
      <c r="E5">
        <f t="shared" si="2"/>
        <v>15.273458469970137</v>
      </c>
    </row>
    <row r="6" spans="1:10" x14ac:dyDescent="0.35">
      <c r="A6">
        <v>4.7999999999999996E-3</v>
      </c>
      <c r="B6">
        <v>6079.1847976766294</v>
      </c>
      <c r="C6">
        <f t="shared" si="0"/>
        <v>22.815202323370613</v>
      </c>
      <c r="D6">
        <f t="shared" si="1"/>
        <v>4680.7440925834153</v>
      </c>
      <c r="E6">
        <f t="shared" si="2"/>
        <v>22.46757164440039</v>
      </c>
    </row>
    <row r="7" spans="1:10" x14ac:dyDescent="0.35">
      <c r="A7">
        <v>6.4000000000000003E-3</v>
      </c>
      <c r="B7">
        <v>6071.8584143703856</v>
      </c>
      <c r="C7">
        <f t="shared" si="0"/>
        <v>30.141585629614383</v>
      </c>
      <c r="D7">
        <f t="shared" si="1"/>
        <v>4578.9895664023543</v>
      </c>
      <c r="E7">
        <f t="shared" si="2"/>
        <v>29.305533224975068</v>
      </c>
    </row>
    <row r="8" spans="1:10" x14ac:dyDescent="0.35">
      <c r="A8">
        <v>8.2000000000000007E-3</v>
      </c>
      <c r="B8">
        <v>6063.6483242830973</v>
      </c>
      <c r="C8">
        <f t="shared" si="0"/>
        <v>38.351675716902719</v>
      </c>
      <c r="D8">
        <f t="shared" si="1"/>
        <v>4561.1611596046296</v>
      </c>
      <c r="E8">
        <f t="shared" si="2"/>
        <v>37.401521508757966</v>
      </c>
    </row>
    <row r="9" spans="1:10" x14ac:dyDescent="0.35">
      <c r="A9">
        <v>1.03E-2</v>
      </c>
      <c r="B9">
        <v>6054.4643073534762</v>
      </c>
      <c r="C9">
        <f t="shared" si="0"/>
        <v>47.535692646523785</v>
      </c>
      <c r="D9">
        <f t="shared" si="1"/>
        <v>4373.3413950576514</v>
      </c>
      <c r="E9">
        <f t="shared" si="2"/>
        <v>45.045416369093807</v>
      </c>
    </row>
    <row r="10" spans="1:10" x14ac:dyDescent="0.35">
      <c r="A10">
        <v>1.2500000000000001E-2</v>
      </c>
      <c r="B10">
        <v>6044.196095774797</v>
      </c>
      <c r="C10">
        <f t="shared" si="0"/>
        <v>57.803904225203041</v>
      </c>
      <c r="D10">
        <f t="shared" si="1"/>
        <v>4667.3688993996611</v>
      </c>
      <c r="E10">
        <f t="shared" si="2"/>
        <v>58.342111242495768</v>
      </c>
    </row>
    <row r="11" spans="1:10" x14ac:dyDescent="0.35">
      <c r="A11">
        <v>1.5100000000000001E-2</v>
      </c>
      <c r="B11">
        <v>6032.7133861146149</v>
      </c>
      <c r="C11">
        <f t="shared" si="0"/>
        <v>69.286613885385123</v>
      </c>
      <c r="D11">
        <f t="shared" si="1"/>
        <v>4416.4267923777234</v>
      </c>
      <c r="E11">
        <f t="shared" si="2"/>
        <v>66.68804456490362</v>
      </c>
    </row>
    <row r="12" spans="1:10" x14ac:dyDescent="0.35">
      <c r="A12">
        <v>1.7999999999999999E-2</v>
      </c>
      <c r="B12">
        <v>6019.8859404167879</v>
      </c>
      <c r="C12">
        <f t="shared" si="0"/>
        <v>82.114059583212111</v>
      </c>
      <c r="D12">
        <f t="shared" si="1"/>
        <v>4423.257137181723</v>
      </c>
      <c r="E12">
        <f t="shared" si="2"/>
        <v>79.618628469271002</v>
      </c>
    </row>
    <row r="13" spans="1:10" x14ac:dyDescent="0.35">
      <c r="A13">
        <v>2.12E-2</v>
      </c>
      <c r="B13">
        <v>6005.5735421203208</v>
      </c>
      <c r="C13">
        <f t="shared" si="0"/>
        <v>96.426457879679219</v>
      </c>
      <c r="D13">
        <f t="shared" si="1"/>
        <v>4472.6244676459692</v>
      </c>
      <c r="E13">
        <f t="shared" si="2"/>
        <v>94.819638714094552</v>
      </c>
    </row>
    <row r="14" spans="1:10" x14ac:dyDescent="0.35">
      <c r="A14">
        <v>2.4899999999999999E-2</v>
      </c>
      <c r="B14">
        <v>5989.6059136048862</v>
      </c>
      <c r="C14">
        <f t="shared" si="0"/>
        <v>112.39408639511385</v>
      </c>
      <c r="D14">
        <f t="shared" si="1"/>
        <v>4315.5752744417923</v>
      </c>
      <c r="E14">
        <f t="shared" si="2"/>
        <v>107.45782433360063</v>
      </c>
      <c r="H14" s="3" t="s">
        <v>22</v>
      </c>
      <c r="I14" s="3">
        <v>500</v>
      </c>
      <c r="J14" s="3" t="s">
        <v>30</v>
      </c>
    </row>
    <row r="15" spans="1:10" x14ac:dyDescent="0.35">
      <c r="A15">
        <v>2.9000000000000001E-2</v>
      </c>
      <c r="B15">
        <v>5971.8329287043198</v>
      </c>
      <c r="C15">
        <f t="shared" si="0"/>
        <v>130.16707129568022</v>
      </c>
      <c r="D15">
        <f t="shared" si="1"/>
        <v>4334.8743659917945</v>
      </c>
      <c r="E15">
        <f t="shared" si="2"/>
        <v>125.71135661376205</v>
      </c>
      <c r="H15" s="3" t="s">
        <v>23</v>
      </c>
      <c r="I15" s="3">
        <v>6102</v>
      </c>
      <c r="J15" s="3" t="s">
        <v>6</v>
      </c>
    </row>
    <row r="16" spans="1:10" x14ac:dyDescent="0.35">
      <c r="A16">
        <v>3.3599999999999998E-2</v>
      </c>
      <c r="B16">
        <v>5952.0543075510914</v>
      </c>
      <c r="C16">
        <f t="shared" si="0"/>
        <v>149.94569244890863</v>
      </c>
      <c r="D16">
        <f t="shared" si="1"/>
        <v>4299.7002507018324</v>
      </c>
      <c r="E16">
        <f t="shared" si="2"/>
        <v>144.46992842358156</v>
      </c>
      <c r="H16" s="3" t="s">
        <v>24</v>
      </c>
      <c r="I16" s="3">
        <v>70</v>
      </c>
      <c r="J16" s="3" t="s">
        <v>31</v>
      </c>
    </row>
    <row r="17" spans="1:46" x14ac:dyDescent="0.35">
      <c r="A17">
        <v>3.8800000000000001E-2</v>
      </c>
      <c r="B17">
        <v>5930.0698115670575</v>
      </c>
      <c r="C17">
        <f t="shared" si="0"/>
        <v>171.93018843294249</v>
      </c>
      <c r="D17">
        <f t="shared" si="1"/>
        <v>4227.7876892372769</v>
      </c>
      <c r="E17">
        <f t="shared" si="2"/>
        <v>164.03816234240634</v>
      </c>
      <c r="H17" s="3" t="s">
        <v>25</v>
      </c>
      <c r="I17" s="3">
        <v>0.1</v>
      </c>
      <c r="J17" s="3"/>
    </row>
    <row r="18" spans="1:46" x14ac:dyDescent="0.35">
      <c r="A18">
        <v>4.4699999999999997E-2</v>
      </c>
      <c r="B18">
        <v>5905.6691645946548</v>
      </c>
      <c r="C18">
        <f t="shared" si="0"/>
        <v>196.33083540534517</v>
      </c>
      <c r="D18">
        <f t="shared" si="1"/>
        <v>4135.7028766784242</v>
      </c>
      <c r="E18">
        <f t="shared" si="2"/>
        <v>184.86591858752556</v>
      </c>
      <c r="H18" s="3" t="s">
        <v>26</v>
      </c>
      <c r="I18" s="3">
        <f>17*POWER(10,-6)</f>
        <v>1.7E-5</v>
      </c>
      <c r="J18" s="3" t="s">
        <v>32</v>
      </c>
    </row>
    <row r="19" spans="1:46" x14ac:dyDescent="0.35">
      <c r="A19">
        <v>5.1299999999999998E-2</v>
      </c>
      <c r="B19">
        <v>5878.6420332160596</v>
      </c>
      <c r="C19">
        <f t="shared" si="0"/>
        <v>223.35796678394036</v>
      </c>
      <c r="D19">
        <f t="shared" si="1"/>
        <v>4095.0199058477542</v>
      </c>
      <c r="E19">
        <f t="shared" si="2"/>
        <v>210.07452116998979</v>
      </c>
      <c r="H19" s="3" t="s">
        <v>27</v>
      </c>
      <c r="I19" s="3">
        <v>0.8</v>
      </c>
      <c r="J19" s="3" t="s">
        <v>33</v>
      </c>
    </row>
    <row r="20" spans="1:46" x14ac:dyDescent="0.35">
      <c r="A20">
        <v>5.8700000000000002E-2</v>
      </c>
      <c r="B20">
        <v>5848.7277690121518</v>
      </c>
      <c r="C20">
        <f t="shared" si="0"/>
        <v>253.27223098784816</v>
      </c>
      <c r="D20">
        <f t="shared" si="1"/>
        <v>4042.468135663215</v>
      </c>
      <c r="E20">
        <f t="shared" si="2"/>
        <v>237.29287956343072</v>
      </c>
      <c r="H20" s="3" t="s">
        <v>28</v>
      </c>
      <c r="I20" s="3">
        <v>0.2</v>
      </c>
      <c r="J20" s="3" t="s">
        <v>31</v>
      </c>
    </row>
    <row r="21" spans="1:46" x14ac:dyDescent="0.35">
      <c r="A21">
        <v>6.7000000000000004E-2</v>
      </c>
      <c r="B21">
        <v>5815.7156520695653</v>
      </c>
      <c r="C21">
        <f t="shared" si="0"/>
        <v>286.28434793043471</v>
      </c>
      <c r="D21">
        <f t="shared" si="1"/>
        <v>3977.3634870586188</v>
      </c>
      <c r="E21">
        <f t="shared" si="2"/>
        <v>266.4833536329275</v>
      </c>
      <c r="H21" s="3" t="s">
        <v>29</v>
      </c>
      <c r="I21" s="3">
        <v>1.1359999999999999</v>
      </c>
      <c r="J21" s="3" t="s">
        <v>34</v>
      </c>
      <c r="P21" s="4"/>
      <c r="Q21" s="4"/>
      <c r="R21" s="4"/>
      <c r="S21" s="4"/>
      <c r="T21" s="2" t="s">
        <v>15</v>
      </c>
      <c r="U21" s="2" t="s">
        <v>15</v>
      </c>
      <c r="AM21" s="14" t="s">
        <v>17</v>
      </c>
      <c r="AN21" s="14"/>
      <c r="AO21" s="14"/>
      <c r="AP21" s="14"/>
      <c r="AQ21" s="2" t="s">
        <v>18</v>
      </c>
      <c r="AR21" s="2"/>
      <c r="AS21" s="2"/>
    </row>
    <row r="22" spans="1:46" x14ac:dyDescent="0.35">
      <c r="A22">
        <v>7.6399999999999996E-2</v>
      </c>
      <c r="B22">
        <v>5779.3343528751593</v>
      </c>
      <c r="C22">
        <f t="shared" si="0"/>
        <v>322.66564712484069</v>
      </c>
      <c r="D22">
        <f t="shared" si="1"/>
        <v>3870.3509781282996</v>
      </c>
      <c r="E22">
        <f t="shared" si="2"/>
        <v>295.69481472900208</v>
      </c>
      <c r="P22" s="15" t="s">
        <v>35</v>
      </c>
      <c r="Q22" s="15"/>
      <c r="R22" s="15"/>
      <c r="S22" s="15"/>
      <c r="AA22" s="2" t="s">
        <v>39</v>
      </c>
      <c r="AB22" s="2"/>
      <c r="AD22" s="2" t="s">
        <v>15</v>
      </c>
      <c r="AE22" s="2"/>
      <c r="AN22" t="s">
        <v>12</v>
      </c>
      <c r="AO22">
        <v>6.4000000000000003E-3</v>
      </c>
      <c r="AQ22" t="s">
        <v>19</v>
      </c>
      <c r="AR22">
        <f>134.92</f>
        <v>134.91999999999999</v>
      </c>
    </row>
    <row r="23" spans="1:46" x14ac:dyDescent="0.35">
      <c r="A23">
        <v>8.6900000000000005E-2</v>
      </c>
      <c r="B23">
        <v>5739.3420475374369</v>
      </c>
      <c r="C23">
        <f t="shared" si="0"/>
        <v>362.65795246256312</v>
      </c>
      <c r="D23">
        <f t="shared" si="1"/>
        <v>3808.7909845449899</v>
      </c>
      <c r="E23">
        <f t="shared" si="2"/>
        <v>330.98393655695963</v>
      </c>
      <c r="P23" s="15"/>
      <c r="Q23" s="15"/>
      <c r="R23" s="15"/>
      <c r="S23" s="15"/>
      <c r="T23" s="8"/>
      <c r="U23" s="8"/>
      <c r="V23" s="8" t="s">
        <v>3</v>
      </c>
      <c r="W23" s="8">
        <f>162.6*I14*I21*I19/(R25*I16)</f>
        <v>3.514708361573879</v>
      </c>
      <c r="X23" s="8" t="s">
        <v>4</v>
      </c>
      <c r="AA23" s="19" t="s">
        <v>38</v>
      </c>
      <c r="AB23" s="19"/>
      <c r="AC23" s="19"/>
      <c r="AD23" t="s">
        <v>2</v>
      </c>
      <c r="AE23">
        <v>4333.1000000000004</v>
      </c>
      <c r="AN23" t="s">
        <v>13</v>
      </c>
      <c r="AO23">
        <v>29.31</v>
      </c>
      <c r="AQ23" s="5" t="s">
        <v>3</v>
      </c>
      <c r="AR23" s="5">
        <f>70.6*500*1.136*0.8/(AR22*70)</f>
        <v>3.3967896319512092</v>
      </c>
      <c r="AS23" s="5" t="s">
        <v>4</v>
      </c>
    </row>
    <row r="24" spans="1:46" x14ac:dyDescent="0.35">
      <c r="A24">
        <v>9.8799999999999999E-2</v>
      </c>
      <c r="B24">
        <v>5695.4960686194745</v>
      </c>
      <c r="C24">
        <f t="shared" si="0"/>
        <v>406.5039313805255</v>
      </c>
      <c r="D24">
        <f t="shared" si="1"/>
        <v>3684.5360435262528</v>
      </c>
      <c r="E24">
        <f t="shared" si="2"/>
        <v>364.03216110039375</v>
      </c>
      <c r="P24" s="16" t="s">
        <v>36</v>
      </c>
      <c r="Q24" s="16"/>
      <c r="R24" s="16"/>
      <c r="S24" s="16"/>
      <c r="T24" s="8"/>
      <c r="U24" s="8"/>
      <c r="V24" s="8" t="s">
        <v>8</v>
      </c>
      <c r="W24" s="8">
        <f>1.151*((R27/R25)-R28+3.23)</f>
        <v>3.4926832796516671</v>
      </c>
      <c r="X24" s="8"/>
      <c r="AD24" s="7" t="s">
        <v>9</v>
      </c>
      <c r="AE24" s="7">
        <f>I14*I21/(24*AE23)</f>
        <v>5.4618325602147806E-3</v>
      </c>
      <c r="AF24" s="7" t="s">
        <v>10</v>
      </c>
      <c r="AQ24" t="s">
        <v>40</v>
      </c>
    </row>
    <row r="25" spans="1:46" x14ac:dyDescent="0.35">
      <c r="A25">
        <v>0.11210000000000001</v>
      </c>
      <c r="B25">
        <v>5647.5726846715115</v>
      </c>
      <c r="C25">
        <f t="shared" si="0"/>
        <v>454.42731532848848</v>
      </c>
      <c r="D25">
        <f t="shared" si="1"/>
        <v>3603.2619509746582</v>
      </c>
      <c r="E25">
        <f t="shared" si="2"/>
        <v>403.92566470425919</v>
      </c>
      <c r="P25" s="18" t="s">
        <v>2</v>
      </c>
      <c r="Q25" s="18"/>
      <c r="R25">
        <f>2.303*130.4</f>
        <v>300.31119999999999</v>
      </c>
      <c r="T25" s="13" t="s">
        <v>16</v>
      </c>
      <c r="U25" s="13"/>
      <c r="V25" s="13"/>
      <c r="W25" s="8">
        <f>0.87*W24*R25</f>
        <v>912.53595903095106</v>
      </c>
      <c r="X25" s="8" t="s">
        <v>6</v>
      </c>
      <c r="AN25" s="12" t="s">
        <v>14</v>
      </c>
      <c r="AO25" s="12">
        <f>500*1.136*AO22/(24*AO23)</f>
        <v>5.1677470715341756E-3</v>
      </c>
      <c r="AQ25" t="s">
        <v>41</v>
      </c>
      <c r="AR25">
        <v>43.37</v>
      </c>
      <c r="AS25" t="s">
        <v>42</v>
      </c>
    </row>
    <row r="26" spans="1:46" x14ac:dyDescent="0.35">
      <c r="A26">
        <v>0.12709999999999999</v>
      </c>
      <c r="B26">
        <v>5595.3366719681144</v>
      </c>
      <c r="C26">
        <f t="shared" si="0"/>
        <v>506.66332803188561</v>
      </c>
      <c r="D26">
        <f t="shared" si="1"/>
        <v>3482.4008468931456</v>
      </c>
      <c r="E26">
        <f t="shared" si="2"/>
        <v>442.61314764011877</v>
      </c>
      <c r="P26" s="18" t="s">
        <v>5</v>
      </c>
      <c r="Q26" s="18"/>
      <c r="R26">
        <v>3815.2</v>
      </c>
      <c r="S26" t="s">
        <v>6</v>
      </c>
      <c r="AQ26" t="s">
        <v>43</v>
      </c>
      <c r="AR26">
        <v>134.91999999999999</v>
      </c>
    </row>
    <row r="27" spans="1:46" x14ac:dyDescent="0.35">
      <c r="A27">
        <v>0.14399999999999999</v>
      </c>
      <c r="B27">
        <v>5538.6112156063155</v>
      </c>
      <c r="C27">
        <f t="shared" si="0"/>
        <v>563.38878439368455</v>
      </c>
      <c r="D27">
        <f t="shared" si="1"/>
        <v>3356.5358793963869</v>
      </c>
      <c r="E27">
        <f t="shared" si="2"/>
        <v>483.34116663307969</v>
      </c>
      <c r="P27" s="18" t="s">
        <v>7</v>
      </c>
      <c r="Q27" s="18"/>
      <c r="R27">
        <f>I15-R26</f>
        <v>2286.8000000000002</v>
      </c>
      <c r="AQ27" t="s">
        <v>44</v>
      </c>
      <c r="AR27">
        <v>2777.9859999999999</v>
      </c>
    </row>
    <row r="28" spans="1:46" ht="28.25" customHeight="1" x14ac:dyDescent="0.35">
      <c r="A28">
        <v>0.16300000000000001</v>
      </c>
      <c r="B28">
        <v>5477.2575387766228</v>
      </c>
      <c r="C28">
        <f t="shared" si="0"/>
        <v>624.74246122337718</v>
      </c>
      <c r="D28">
        <f t="shared" si="1"/>
        <v>3229.1408857732936</v>
      </c>
      <c r="E28">
        <f t="shared" si="2"/>
        <v>526.3499643810469</v>
      </c>
      <c r="P28" s="17" t="s">
        <v>37</v>
      </c>
      <c r="Q28" s="17"/>
      <c r="R28">
        <f>LOG10(W23/(I17*I19*I18*I20*I20))</f>
        <v>7.8102903948884421</v>
      </c>
      <c r="AQ28" t="s">
        <v>45</v>
      </c>
      <c r="AR28">
        <f>2.303*AR26</f>
        <v>310.72075999999998</v>
      </c>
    </row>
    <row r="29" spans="1:46" x14ac:dyDescent="0.35">
      <c r="A29">
        <v>0.18440000000000001</v>
      </c>
      <c r="B29">
        <v>5411.1746593466569</v>
      </c>
      <c r="C29">
        <f t="shared" si="0"/>
        <v>690.82534065334312</v>
      </c>
      <c r="D29">
        <f t="shared" si="1"/>
        <v>3087.9850200918663</v>
      </c>
      <c r="E29">
        <f t="shared" si="2"/>
        <v>569.42443770494015</v>
      </c>
      <c r="AQ29" t="s">
        <v>46</v>
      </c>
      <c r="AT29">
        <f>LOG10(AR23*AR25/(I17*I19*I18*I20*I20))</f>
        <v>9.4326591736739278</v>
      </c>
    </row>
    <row r="30" spans="1:46" x14ac:dyDescent="0.35">
      <c r="A30">
        <v>0.20899999999999999</v>
      </c>
      <c r="B30">
        <v>5340.3595765561167</v>
      </c>
      <c r="C30">
        <f t="shared" si="0"/>
        <v>761.64042344388326</v>
      </c>
      <c r="D30">
        <f t="shared" si="1"/>
        <v>2878.6619020544795</v>
      </c>
      <c r="E30">
        <f t="shared" si="2"/>
        <v>601.64033752938622</v>
      </c>
      <c r="AP30" s="6"/>
      <c r="AQ30" s="6" t="s">
        <v>8</v>
      </c>
      <c r="AR30" s="6">
        <f>1.151*((AR27/AR28)-AT29+3.23)</f>
        <v>3.1512068028311333</v>
      </c>
      <c r="AS30" s="6"/>
      <c r="AT30" s="6"/>
    </row>
    <row r="31" spans="1:46" x14ac:dyDescent="0.35">
      <c r="A31">
        <v>0.23599999999999999</v>
      </c>
      <c r="B31">
        <v>5264.8571868322479</v>
      </c>
      <c r="C31">
        <f t="shared" si="0"/>
        <v>837.14281316775214</v>
      </c>
      <c r="D31">
        <f t="shared" si="1"/>
        <v>2796.3848045877367</v>
      </c>
      <c r="E31">
        <f t="shared" si="2"/>
        <v>659.94681388270578</v>
      </c>
      <c r="G31" s="9"/>
      <c r="H31" s="22" t="s">
        <v>48</v>
      </c>
      <c r="I31" s="22"/>
      <c r="J31" s="22"/>
      <c r="K31" s="22"/>
      <c r="L31" s="9"/>
      <c r="M31" s="9"/>
      <c r="N31" s="9"/>
      <c r="O31" s="2"/>
      <c r="P31" s="2"/>
      <c r="AP31" s="21" t="s">
        <v>47</v>
      </c>
      <c r="AQ31" s="21"/>
      <c r="AR31" s="21"/>
      <c r="AS31" s="6">
        <f>0.87*AR30*AR28</f>
        <v>851.85647424278807</v>
      </c>
      <c r="AT31" s="6" t="s">
        <v>6</v>
      </c>
    </row>
    <row r="32" spans="1:46" x14ac:dyDescent="0.35">
      <c r="A32">
        <v>0.26600000000000001</v>
      </c>
      <c r="B32">
        <v>5184.8411676707537</v>
      </c>
      <c r="C32">
        <f t="shared" si="0"/>
        <v>917.15883232924625</v>
      </c>
      <c r="D32">
        <f t="shared" si="1"/>
        <v>2667.2006387164679</v>
      </c>
      <c r="E32">
        <f t="shared" si="2"/>
        <v>709.47536989858054</v>
      </c>
      <c r="G32" s="9"/>
      <c r="H32" s="22"/>
      <c r="I32" s="22"/>
      <c r="J32" s="22"/>
      <c r="K32" s="22"/>
      <c r="L32" s="9"/>
      <c r="M32" s="9"/>
      <c r="N32" s="9"/>
      <c r="O32" s="2"/>
      <c r="P32" s="2"/>
    </row>
    <row r="33" spans="1:16" x14ac:dyDescent="0.35">
      <c r="A33">
        <v>0.3</v>
      </c>
      <c r="B33">
        <v>5100.5846935122372</v>
      </c>
      <c r="C33">
        <f t="shared" si="0"/>
        <v>1001.4153064877628</v>
      </c>
      <c r="D33">
        <f t="shared" si="1"/>
        <v>2478.1315928975473</v>
      </c>
      <c r="E33">
        <f t="shared" si="2"/>
        <v>743.43947786926412</v>
      </c>
      <c r="G33" s="9"/>
      <c r="H33" s="9" t="s">
        <v>49</v>
      </c>
      <c r="I33" s="9"/>
      <c r="J33" s="9" t="s">
        <v>51</v>
      </c>
      <c r="K33" s="9"/>
      <c r="L33" s="9" t="s">
        <v>50</v>
      </c>
      <c r="M33" s="9"/>
      <c r="N33" s="9" t="s">
        <v>53</v>
      </c>
      <c r="O33" s="2"/>
      <c r="P33" s="2"/>
    </row>
    <row r="34" spans="1:16" x14ac:dyDescent="0.35">
      <c r="A34">
        <v>0.33900000000000002</v>
      </c>
      <c r="B34">
        <v>5012.5019986649122</v>
      </c>
      <c r="C34">
        <f t="shared" si="0"/>
        <v>1089.4980013350878</v>
      </c>
      <c r="D34">
        <f t="shared" si="1"/>
        <v>2258.5306371108954</v>
      </c>
      <c r="E34">
        <f t="shared" si="2"/>
        <v>765.64188598059366</v>
      </c>
      <c r="G34" s="20" t="s">
        <v>52</v>
      </c>
      <c r="H34" s="20"/>
      <c r="I34" s="20"/>
      <c r="J34" s="9"/>
      <c r="K34" s="9">
        <f>AE24</f>
        <v>5.4618325602147806E-3</v>
      </c>
      <c r="L34" s="9"/>
      <c r="M34" s="9">
        <f>AO25</f>
        <v>5.1677470715341756E-3</v>
      </c>
      <c r="N34" s="9" t="s">
        <v>54</v>
      </c>
      <c r="O34" s="2"/>
      <c r="P34" s="2"/>
    </row>
    <row r="35" spans="1:16" x14ac:dyDescent="0.35">
      <c r="A35">
        <v>0.38200000000000001</v>
      </c>
      <c r="B35">
        <v>4921.1501146603032</v>
      </c>
      <c r="C35">
        <f t="shared" si="0"/>
        <v>1180.8498853396968</v>
      </c>
      <c r="D35">
        <f t="shared" si="1"/>
        <v>2124.4624187118384</v>
      </c>
      <c r="E35">
        <f t="shared" si="2"/>
        <v>811.54464394792228</v>
      </c>
      <c r="G35" s="20" t="s">
        <v>55</v>
      </c>
      <c r="H35" s="20"/>
      <c r="I35" s="20"/>
      <c r="J35" s="9"/>
      <c r="K35" s="9">
        <f>W24</f>
        <v>3.4926832796516671</v>
      </c>
      <c r="L35" s="9"/>
      <c r="M35" s="9">
        <f>AR30</f>
        <v>3.1512068028311333</v>
      </c>
      <c r="N35" s="9"/>
      <c r="O35" s="2"/>
      <c r="P35" s="2"/>
    </row>
    <row r="36" spans="1:16" x14ac:dyDescent="0.35">
      <c r="A36">
        <v>0.43099999999999999</v>
      </c>
      <c r="B36">
        <v>4827.2308590848334</v>
      </c>
      <c r="C36">
        <f t="shared" si="0"/>
        <v>1274.7691409151666</v>
      </c>
      <c r="D36">
        <f t="shared" si="1"/>
        <v>1916.7195015402012</v>
      </c>
      <c r="E36">
        <f t="shared" si="2"/>
        <v>826.10610516382667</v>
      </c>
      <c r="G36" s="20" t="s">
        <v>56</v>
      </c>
      <c r="H36" s="20"/>
      <c r="I36" s="20"/>
      <c r="J36" s="9"/>
      <c r="K36" s="9">
        <f>W23</f>
        <v>3.514708361573879</v>
      </c>
      <c r="L36" s="9"/>
      <c r="M36" s="9">
        <f>AR23</f>
        <v>3.3967896319512092</v>
      </c>
      <c r="N36" s="9"/>
      <c r="O36" s="2"/>
      <c r="P36" s="2"/>
    </row>
    <row r="37" spans="1:16" x14ac:dyDescent="0.35">
      <c r="A37">
        <v>0.48599999999999999</v>
      </c>
      <c r="B37">
        <v>4731.6030263533967</v>
      </c>
      <c r="C37">
        <f t="shared" si="0"/>
        <v>1370.3969736466033</v>
      </c>
      <c r="D37">
        <f t="shared" si="1"/>
        <v>1738.6878678443036</v>
      </c>
      <c r="E37">
        <f t="shared" si="2"/>
        <v>845.00230377233152</v>
      </c>
      <c r="G37" s="20" t="s">
        <v>16</v>
      </c>
      <c r="H37" s="20"/>
      <c r="I37" s="20"/>
      <c r="J37" s="9"/>
      <c r="K37" s="9">
        <f>W25</f>
        <v>912.53595903095106</v>
      </c>
      <c r="L37" s="9"/>
      <c r="M37" s="9">
        <f>AS31</f>
        <v>851.85647424278807</v>
      </c>
      <c r="N37" s="9"/>
      <c r="O37" s="2"/>
      <c r="P37" s="2"/>
    </row>
    <row r="38" spans="1:16" x14ac:dyDescent="0.35">
      <c r="A38">
        <v>0.54700000000000004</v>
      </c>
      <c r="B38">
        <v>4635.2437475462939</v>
      </c>
      <c r="C38">
        <f t="shared" si="0"/>
        <v>1466.7562524537061</v>
      </c>
      <c r="D38">
        <f t="shared" si="1"/>
        <v>1579.660308313159</v>
      </c>
      <c r="E38">
        <f t="shared" si="2"/>
        <v>864.074188647298</v>
      </c>
    </row>
    <row r="39" spans="1:16" x14ac:dyDescent="0.35">
      <c r="A39">
        <v>0.61699999999999999</v>
      </c>
      <c r="B39">
        <v>4539.2700598955653</v>
      </c>
      <c r="C39">
        <f t="shared" si="0"/>
        <v>1562.7299401044347</v>
      </c>
      <c r="D39">
        <f t="shared" si="1"/>
        <v>1371.0526807246954</v>
      </c>
      <c r="E39">
        <f t="shared" si="2"/>
        <v>845.93950400713709</v>
      </c>
    </row>
    <row r="40" spans="1:16" x14ac:dyDescent="0.35">
      <c r="A40">
        <v>0.69499999999999995</v>
      </c>
      <c r="B40">
        <v>4444.8683998805818</v>
      </c>
      <c r="C40">
        <f t="shared" si="0"/>
        <v>1657.1316001194182</v>
      </c>
      <c r="D40">
        <f t="shared" si="1"/>
        <v>1210.2776924997886</v>
      </c>
      <c r="E40">
        <f t="shared" si="2"/>
        <v>841.14299628735307</v>
      </c>
    </row>
    <row r="41" spans="1:16" x14ac:dyDescent="0.35">
      <c r="A41">
        <v>0.78300000000000003</v>
      </c>
      <c r="B41">
        <v>4353.2329644530801</v>
      </c>
      <c r="C41">
        <f t="shared" si="0"/>
        <v>1748.7670355469199</v>
      </c>
      <c r="D41">
        <f t="shared" si="1"/>
        <v>1041.31176622161</v>
      </c>
      <c r="E41">
        <f t="shared" si="2"/>
        <v>815.34711295152067</v>
      </c>
    </row>
    <row r="42" spans="1:16" x14ac:dyDescent="0.35">
      <c r="A42">
        <v>0.88200000000000001</v>
      </c>
      <c r="B42">
        <v>4265.5539575272123</v>
      </c>
      <c r="C42">
        <f t="shared" si="0"/>
        <v>1836.4460424727877</v>
      </c>
      <c r="D42">
        <f t="shared" si="1"/>
        <v>885.64653460472471</v>
      </c>
      <c r="E42">
        <f t="shared" si="2"/>
        <v>781.14024352136721</v>
      </c>
    </row>
    <row r="43" spans="1:16" x14ac:dyDescent="0.35">
      <c r="A43">
        <v>0.99299999999999999</v>
      </c>
      <c r="B43">
        <v>4182.9032634701343</v>
      </c>
      <c r="C43">
        <f t="shared" si="0"/>
        <v>1919.0967365298657</v>
      </c>
      <c r="D43">
        <f t="shared" si="1"/>
        <v>744.60084736106319</v>
      </c>
      <c r="E43">
        <f t="shared" si="2"/>
        <v>739.38864142953571</v>
      </c>
    </row>
    <row r="44" spans="1:16" x14ac:dyDescent="0.35">
      <c r="A44">
        <v>1.1180000000000001</v>
      </c>
      <c r="B44">
        <v>4106.1705376583559</v>
      </c>
      <c r="C44">
        <f t="shared" si="0"/>
        <v>1995.8294623416441</v>
      </c>
      <c r="D44">
        <f t="shared" si="1"/>
        <v>613.86180649422693</v>
      </c>
      <c r="E44">
        <f t="shared" si="2"/>
        <v>686.29749966054578</v>
      </c>
    </row>
    <row r="45" spans="1:16" x14ac:dyDescent="0.35">
      <c r="A45">
        <v>1.2589999999999999</v>
      </c>
      <c r="B45">
        <v>4036.0096755094937</v>
      </c>
      <c r="C45">
        <f t="shared" si="0"/>
        <v>2065.9903244905063</v>
      </c>
      <c r="D45">
        <f t="shared" si="1"/>
        <v>497.59476701320767</v>
      </c>
      <c r="E45">
        <f t="shared" si="2"/>
        <v>626.47181166962844</v>
      </c>
    </row>
    <row r="46" spans="1:16" x14ac:dyDescent="0.35">
      <c r="A46">
        <v>1.417</v>
      </c>
      <c r="B46">
        <v>3972.806301095728</v>
      </c>
      <c r="C46">
        <f t="shared" si="0"/>
        <v>2129.193698904272</v>
      </c>
      <c r="D46">
        <f t="shared" si="1"/>
        <v>400.02135704914957</v>
      </c>
      <c r="E46">
        <f t="shared" si="2"/>
        <v>566.83026293864498</v>
      </c>
    </row>
    <row r="47" spans="1:16" x14ac:dyDescent="0.35">
      <c r="A47">
        <v>1.595</v>
      </c>
      <c r="B47">
        <v>3916.6051368421636</v>
      </c>
      <c r="C47">
        <f t="shared" si="0"/>
        <v>2185.3948631578364</v>
      </c>
      <c r="D47">
        <f t="shared" si="1"/>
        <v>315.73687782901391</v>
      </c>
      <c r="E47">
        <f t="shared" si="2"/>
        <v>503.60032013727715</v>
      </c>
    </row>
    <row r="48" spans="1:16" x14ac:dyDescent="0.35">
      <c r="A48">
        <v>1.7949999999999999</v>
      </c>
      <c r="B48">
        <v>3867.1710475453906</v>
      </c>
      <c r="C48">
        <f t="shared" si="0"/>
        <v>2234.8289524546094</v>
      </c>
      <c r="D48">
        <f t="shared" si="1"/>
        <v>247.17044648386496</v>
      </c>
      <c r="E48">
        <f t="shared" si="2"/>
        <v>443.6709514385376</v>
      </c>
    </row>
    <row r="49" spans="1:5" x14ac:dyDescent="0.35">
      <c r="A49">
        <v>2.02</v>
      </c>
      <c r="B49">
        <v>3824.0098499971914</v>
      </c>
      <c r="C49">
        <f t="shared" si="0"/>
        <v>2277.9901500028086</v>
      </c>
      <c r="D49">
        <f t="shared" si="1"/>
        <v>191.82754465866302</v>
      </c>
      <c r="E49">
        <f t="shared" si="2"/>
        <v>387.49164021049927</v>
      </c>
    </row>
    <row r="50" spans="1:5" x14ac:dyDescent="0.35">
      <c r="A50">
        <v>2.2799999999999998</v>
      </c>
      <c r="B50">
        <v>3786.4098903176327</v>
      </c>
      <c r="C50">
        <f t="shared" si="0"/>
        <v>2315.5901096823673</v>
      </c>
      <c r="D50">
        <f t="shared" si="1"/>
        <v>144.61522953676416</v>
      </c>
      <c r="E50">
        <f t="shared" si="2"/>
        <v>329.72272334382228</v>
      </c>
    </row>
    <row r="51" spans="1:5" x14ac:dyDescent="0.35">
      <c r="A51">
        <v>2.56</v>
      </c>
      <c r="B51">
        <v>3753.5450946801898</v>
      </c>
      <c r="C51">
        <f t="shared" si="0"/>
        <v>2348.4549053198102</v>
      </c>
      <c r="D51">
        <f t="shared" si="1"/>
        <v>117.37427013372478</v>
      </c>
      <c r="E51">
        <f t="shared" si="2"/>
        <v>300.47813154233546</v>
      </c>
    </row>
    <row r="52" spans="1:5" x14ac:dyDescent="0.35">
      <c r="A52">
        <v>2.88</v>
      </c>
      <c r="B52">
        <v>3724.5881809497614</v>
      </c>
      <c r="C52">
        <f t="shared" si="0"/>
        <v>2377.4118190502386</v>
      </c>
      <c r="D52">
        <f t="shared" si="1"/>
        <v>90.490355407588694</v>
      </c>
      <c r="E52">
        <f t="shared" si="2"/>
        <v>260.61222357385543</v>
      </c>
    </row>
    <row r="53" spans="1:5" x14ac:dyDescent="0.35">
      <c r="A53">
        <v>3.24</v>
      </c>
      <c r="B53">
        <v>3698.7213856128719</v>
      </c>
      <c r="C53">
        <f t="shared" si="0"/>
        <v>2403.2786143871281</v>
      </c>
      <c r="D53">
        <f t="shared" si="1"/>
        <v>71.85220926913739</v>
      </c>
      <c r="E53">
        <f t="shared" si="2"/>
        <v>232.80115803200516</v>
      </c>
    </row>
    <row r="54" spans="1:5" x14ac:dyDescent="0.35">
      <c r="A54">
        <v>3.65</v>
      </c>
      <c r="B54">
        <v>3675.2391133032079</v>
      </c>
      <c r="C54">
        <f t="shared" si="0"/>
        <v>2426.7608866967921</v>
      </c>
      <c r="D54">
        <f t="shared" si="1"/>
        <v>57.273834901619651</v>
      </c>
      <c r="E54">
        <f t="shared" si="2"/>
        <v>209.04949739091171</v>
      </c>
    </row>
    <row r="55" spans="1:5" x14ac:dyDescent="0.35">
      <c r="A55">
        <v>4.1100000000000003</v>
      </c>
      <c r="B55">
        <v>3653.5481343468041</v>
      </c>
      <c r="C55">
        <f t="shared" si="0"/>
        <v>2448.4518656531959</v>
      </c>
      <c r="D55">
        <f t="shared" si="1"/>
        <v>47.154302079138645</v>
      </c>
      <c r="E55">
        <f t="shared" si="2"/>
        <v>193.80418154525984</v>
      </c>
    </row>
    <row r="56" spans="1:5" x14ac:dyDescent="0.35">
      <c r="A56">
        <v>4.62</v>
      </c>
      <c r="B56">
        <v>3633.2086168943251</v>
      </c>
      <c r="C56">
        <f t="shared" si="0"/>
        <v>2468.7913831056749</v>
      </c>
      <c r="D56">
        <f t="shared" si="1"/>
        <v>39.881406769566603</v>
      </c>
      <c r="E56">
        <f t="shared" si="2"/>
        <v>184.25209927539771</v>
      </c>
    </row>
    <row r="57" spans="1:5" x14ac:dyDescent="0.35">
      <c r="A57">
        <v>5.2</v>
      </c>
      <c r="B57">
        <v>3613.8830174587483</v>
      </c>
      <c r="C57">
        <f t="shared" si="0"/>
        <v>2488.1169825412517</v>
      </c>
      <c r="D57">
        <f t="shared" si="1"/>
        <v>33.319999026856557</v>
      </c>
      <c r="E57">
        <f t="shared" si="2"/>
        <v>173.26399493965411</v>
      </c>
    </row>
    <row r="58" spans="1:5" x14ac:dyDescent="0.35">
      <c r="A58">
        <v>5.85</v>
      </c>
      <c r="B58">
        <v>3595.3361000695672</v>
      </c>
      <c r="C58">
        <f t="shared" si="0"/>
        <v>2506.6638999304328</v>
      </c>
      <c r="D58">
        <f t="shared" si="1"/>
        <v>28.533719060278624</v>
      </c>
      <c r="E58">
        <f t="shared" si="2"/>
        <v>166.92225650262995</v>
      </c>
    </row>
    <row r="59" spans="1:5" x14ac:dyDescent="0.35">
      <c r="A59">
        <v>6.58</v>
      </c>
      <c r="B59">
        <v>3577.3837891017811</v>
      </c>
      <c r="C59">
        <f t="shared" si="0"/>
        <v>2524.6162108982189</v>
      </c>
      <c r="D59">
        <f t="shared" si="1"/>
        <v>24.592206805186507</v>
      </c>
      <c r="E59">
        <f t="shared" si="2"/>
        <v>161.81672077812721</v>
      </c>
    </row>
    <row r="60" spans="1:5" x14ac:dyDescent="0.35">
      <c r="A60">
        <v>7.4</v>
      </c>
      <c r="B60">
        <v>3559.9238546875476</v>
      </c>
      <c r="C60">
        <f t="shared" si="0"/>
        <v>2542.0761453124524</v>
      </c>
      <c r="D60">
        <f t="shared" si="1"/>
        <v>21.292602944187102</v>
      </c>
      <c r="E60">
        <f t="shared" si="2"/>
        <v>157.56526178698456</v>
      </c>
    </row>
    <row r="61" spans="1:5" x14ac:dyDescent="0.35">
      <c r="A61">
        <v>8.33</v>
      </c>
      <c r="B61">
        <v>3542.8643025705733</v>
      </c>
      <c r="C61">
        <f t="shared" si="0"/>
        <v>2559.1356974294267</v>
      </c>
      <c r="D61">
        <f t="shared" si="1"/>
        <v>18.343604426854171</v>
      </c>
      <c r="E61">
        <f t="shared" si="2"/>
        <v>152.80222487569523</v>
      </c>
    </row>
    <row r="62" spans="1:5" x14ac:dyDescent="0.35">
      <c r="A62">
        <v>9.3699999999999992</v>
      </c>
      <c r="B62">
        <v>3526.1438302145184</v>
      </c>
      <c r="C62">
        <f t="shared" si="0"/>
        <v>2575.8561697854816</v>
      </c>
      <c r="D62">
        <f t="shared" si="1"/>
        <v>16.077377265437388</v>
      </c>
      <c r="E62">
        <f t="shared" si="2"/>
        <v>150.64502497714832</v>
      </c>
    </row>
    <row r="63" spans="1:5" x14ac:dyDescent="0.35">
      <c r="A63">
        <v>10.55</v>
      </c>
      <c r="B63">
        <v>3509.6909182527374</v>
      </c>
      <c r="C63">
        <f t="shared" si="0"/>
        <v>2592.3090817472626</v>
      </c>
      <c r="D63">
        <f t="shared" si="1"/>
        <v>13.943145730322826</v>
      </c>
      <c r="E63">
        <f t="shared" si="2"/>
        <v>147.10018745490581</v>
      </c>
    </row>
    <row r="64" spans="1:5" x14ac:dyDescent="0.35">
      <c r="A64">
        <v>11.86</v>
      </c>
      <c r="B64">
        <v>3493.4749605056754</v>
      </c>
      <c r="C64">
        <f t="shared" si="0"/>
        <v>2608.5250394943246</v>
      </c>
      <c r="D64">
        <f t="shared" si="1"/>
        <v>12.378593700047356</v>
      </c>
      <c r="E64">
        <f t="shared" si="2"/>
        <v>146.81012128256162</v>
      </c>
    </row>
    <row r="65" spans="1:5" x14ac:dyDescent="0.35">
      <c r="A65">
        <v>13.35</v>
      </c>
      <c r="B65">
        <v>3477.4653544894513</v>
      </c>
      <c r="C65">
        <f t="shared" si="0"/>
        <v>2624.5346455105487</v>
      </c>
      <c r="D65">
        <f t="shared" si="1"/>
        <v>10.744702024311474</v>
      </c>
      <c r="E65">
        <f t="shared" si="2"/>
        <v>143.44177202455816</v>
      </c>
    </row>
    <row r="66" spans="1:5" x14ac:dyDescent="0.35">
      <c r="A66">
        <v>15.02</v>
      </c>
      <c r="B66">
        <v>3461.6315038376747</v>
      </c>
      <c r="C66">
        <f t="shared" si="0"/>
        <v>2640.3684961623253</v>
      </c>
      <c r="D66">
        <f t="shared" si="1"/>
        <v>9.4813476956746285</v>
      </c>
      <c r="E66">
        <f t="shared" si="2"/>
        <v>142.40984238903292</v>
      </c>
    </row>
    <row r="67" spans="1:5" x14ac:dyDescent="0.35">
      <c r="A67">
        <v>16.899999999999999</v>
      </c>
      <c r="B67">
        <v>3445.9428206627367</v>
      </c>
      <c r="C67">
        <f t="shared" si="0"/>
        <v>2656.0571793372633</v>
      </c>
      <c r="D67">
        <f t="shared" si="1"/>
        <v>8.3450442419882904</v>
      </c>
      <c r="E67">
        <f t="shared" si="2"/>
        <v>141.03124768960208</v>
      </c>
    </row>
    <row r="68" spans="1:5" x14ac:dyDescent="0.35">
      <c r="A68">
        <v>19.010000000000002</v>
      </c>
      <c r="B68">
        <v>3430.3891648584636</v>
      </c>
      <c r="C68">
        <f t="shared" ref="C68:C80" si="3">$B$2-B68</f>
        <v>2671.6108351415364</v>
      </c>
      <c r="D68">
        <f t="shared" ref="D68:D79" si="4">ABS(B68-B67)/(A68-A67)</f>
        <v>7.3714008551057475</v>
      </c>
      <c r="E68">
        <f t="shared" ref="E68:E79" si="5">D68*A68</f>
        <v>140.13033025556027</v>
      </c>
    </row>
    <row r="69" spans="1:5" x14ac:dyDescent="0.35">
      <c r="A69">
        <v>21.39</v>
      </c>
      <c r="B69">
        <v>3414.9399632701547</v>
      </c>
      <c r="C69">
        <f t="shared" si="3"/>
        <v>2687.0600367298453</v>
      </c>
      <c r="D69">
        <f t="shared" si="4"/>
        <v>6.4912611715583326</v>
      </c>
      <c r="E69">
        <f t="shared" si="5"/>
        <v>138.84807645963275</v>
      </c>
    </row>
    <row r="70" spans="1:5" x14ac:dyDescent="0.35">
      <c r="A70">
        <v>24.06</v>
      </c>
      <c r="B70">
        <v>3399.6055186191247</v>
      </c>
      <c r="C70">
        <f t="shared" si="3"/>
        <v>2702.3944813808753</v>
      </c>
      <c r="D70">
        <f t="shared" si="4"/>
        <v>5.7432376970149948</v>
      </c>
      <c r="E70">
        <f t="shared" si="5"/>
        <v>138.18229899018075</v>
      </c>
    </row>
    <row r="71" spans="1:5" x14ac:dyDescent="0.35">
      <c r="A71">
        <v>27.07</v>
      </c>
      <c r="B71">
        <v>3384.3450551817418</v>
      </c>
      <c r="C71">
        <f t="shared" si="3"/>
        <v>2717.6549448182582</v>
      </c>
      <c r="D71">
        <f t="shared" si="4"/>
        <v>5.0699214077684012</v>
      </c>
      <c r="E71">
        <f t="shared" si="5"/>
        <v>137.24277250829061</v>
      </c>
    </row>
    <row r="72" spans="1:5" x14ac:dyDescent="0.35">
      <c r="A72">
        <v>30.45</v>
      </c>
      <c r="B72">
        <v>3369.16888100493</v>
      </c>
      <c r="C72">
        <f t="shared" si="3"/>
        <v>2732.83111899507</v>
      </c>
      <c r="D72">
        <f t="shared" si="4"/>
        <v>4.4899923600035088</v>
      </c>
      <c r="E72">
        <f t="shared" si="5"/>
        <v>136.72026736210685</v>
      </c>
    </row>
    <row r="73" spans="1:5" x14ac:dyDescent="0.35">
      <c r="A73">
        <v>34.26</v>
      </c>
      <c r="B73">
        <v>3354.0566645906911</v>
      </c>
      <c r="C73">
        <f t="shared" si="3"/>
        <v>2747.9433354093089</v>
      </c>
      <c r="D73">
        <f t="shared" si="4"/>
        <v>3.9664610011125738</v>
      </c>
      <c r="E73">
        <f t="shared" si="5"/>
        <v>135.89095389811678</v>
      </c>
    </row>
    <row r="74" spans="1:5" x14ac:dyDescent="0.35">
      <c r="A74">
        <v>38.549999999999997</v>
      </c>
      <c r="B74">
        <v>3339.0085035075526</v>
      </c>
      <c r="C74">
        <f t="shared" si="3"/>
        <v>2762.9914964924474</v>
      </c>
      <c r="D74">
        <f t="shared" si="4"/>
        <v>3.5077298562094268</v>
      </c>
      <c r="E74">
        <f t="shared" si="5"/>
        <v>135.2229859568734</v>
      </c>
    </row>
    <row r="75" spans="1:5" x14ac:dyDescent="0.35">
      <c r="A75">
        <v>43.37</v>
      </c>
      <c r="B75">
        <v>3324.0142876129057</v>
      </c>
      <c r="C75">
        <f t="shared" si="3"/>
        <v>2777.9857123870943</v>
      </c>
      <c r="D75">
        <f t="shared" si="4"/>
        <v>3.1108331731632597</v>
      </c>
      <c r="E75">
        <f t="shared" si="5"/>
        <v>134.91683472009058</v>
      </c>
    </row>
    <row r="76" spans="1:5" x14ac:dyDescent="0.35">
      <c r="A76">
        <v>48.79</v>
      </c>
      <c r="B76">
        <v>3309.0639134908238</v>
      </c>
      <c r="C76">
        <f t="shared" si="3"/>
        <v>2792.9360865091762</v>
      </c>
      <c r="D76">
        <f t="shared" si="4"/>
        <v>2.7583716092402093</v>
      </c>
      <c r="E76">
        <f t="shared" si="5"/>
        <v>134.58095081482981</v>
      </c>
    </row>
    <row r="77" spans="1:5" x14ac:dyDescent="0.35">
      <c r="A77">
        <v>54.89</v>
      </c>
      <c r="B77">
        <v>3294.157487050662</v>
      </c>
      <c r="C77">
        <f t="shared" si="3"/>
        <v>2807.842512949338</v>
      </c>
      <c r="D77">
        <f t="shared" si="4"/>
        <v>2.4436764656002938</v>
      </c>
      <c r="E77">
        <f t="shared" si="5"/>
        <v>134.13340119680012</v>
      </c>
    </row>
    <row r="78" spans="1:5" x14ac:dyDescent="0.35">
      <c r="A78">
        <v>61.75</v>
      </c>
      <c r="B78">
        <v>3279.2849139548098</v>
      </c>
      <c r="C78">
        <f t="shared" si="3"/>
        <v>2822.7150860451902</v>
      </c>
      <c r="D78">
        <f t="shared" si="4"/>
        <v>2.1680135708239368</v>
      </c>
      <c r="E78">
        <f t="shared" si="5"/>
        <v>133.8748379983781</v>
      </c>
    </row>
    <row r="79" spans="1:5" x14ac:dyDescent="0.35">
      <c r="A79">
        <v>69.47</v>
      </c>
      <c r="B79">
        <v>3264.4463057072235</v>
      </c>
      <c r="C79">
        <f t="shared" si="3"/>
        <v>2837.5536942927765</v>
      </c>
      <c r="D79">
        <f t="shared" si="4"/>
        <v>1.9220995139360506</v>
      </c>
      <c r="E79">
        <f t="shared" si="5"/>
        <v>133.52825323313743</v>
      </c>
    </row>
    <row r="80" spans="1:5" x14ac:dyDescent="0.35">
      <c r="A80">
        <v>72</v>
      </c>
      <c r="B80">
        <v>3259.9495140990689</v>
      </c>
      <c r="C80">
        <f t="shared" si="3"/>
        <v>2842.0504859009311</v>
      </c>
    </row>
  </sheetData>
  <mergeCells count="15">
    <mergeCell ref="G37:I37"/>
    <mergeCell ref="G36:I36"/>
    <mergeCell ref="AP31:AR31"/>
    <mergeCell ref="H31:K32"/>
    <mergeCell ref="G34:I34"/>
    <mergeCell ref="G35:I35"/>
    <mergeCell ref="T25:V25"/>
    <mergeCell ref="AM21:AP21"/>
    <mergeCell ref="P22:S23"/>
    <mergeCell ref="P24:S24"/>
    <mergeCell ref="P28:Q28"/>
    <mergeCell ref="P27:Q27"/>
    <mergeCell ref="P26:Q26"/>
    <mergeCell ref="P25:Q25"/>
    <mergeCell ref="AA23:AC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8BB1-31C1-4FAE-987D-B3580A62601F}">
  <dimension ref="A1:I80"/>
  <sheetViews>
    <sheetView workbookViewId="0">
      <selection activeCell="P24" sqref="P24"/>
    </sheetView>
  </sheetViews>
  <sheetFormatPr defaultRowHeight="14.5" x14ac:dyDescent="0.35"/>
  <sheetData>
    <row r="1" spans="1:9" x14ac:dyDescent="0.35">
      <c r="A1" t="s">
        <v>0</v>
      </c>
      <c r="B1" s="1" t="s">
        <v>1</v>
      </c>
      <c r="C1" t="s">
        <v>57</v>
      </c>
      <c r="D1" t="s">
        <v>58</v>
      </c>
      <c r="E1" t="s">
        <v>59</v>
      </c>
    </row>
    <row r="2" spans="1:9" x14ac:dyDescent="0.35">
      <c r="A2">
        <v>0</v>
      </c>
      <c r="B2" s="1">
        <v>6102</v>
      </c>
      <c r="C2">
        <f>0.000264*$H$11*A2/($H$6*$H$8*$H$7*$H$9*$H$9)</f>
        <v>0</v>
      </c>
      <c r="D2">
        <f>141.2*$H$3*$H$10*($B$2-B2)/($H$11*$H$5)</f>
        <v>0</v>
      </c>
    </row>
    <row r="3" spans="1:9" x14ac:dyDescent="0.35">
      <c r="A3">
        <v>1E-3</v>
      </c>
      <c r="B3">
        <v>6096.7846369260305</v>
      </c>
      <c r="C3">
        <f>0.000264*$H$11*A3/($H$6*$H$8*$H$7*$H$9*$H$9)</f>
        <v>16.480588235294114</v>
      </c>
      <c r="D3">
        <f t="shared" ref="D3:D66" si="0">141.2*$H$3*$H$10*($B$2-B3)/($H$11*$H$5)</f>
        <v>1759.5509974477063</v>
      </c>
      <c r="E3">
        <f>C3*(D3-D2)/(C3-C2)</f>
        <v>1759.5509974477063</v>
      </c>
      <c r="G3" s="3" t="s">
        <v>22</v>
      </c>
      <c r="H3" s="3">
        <v>500</v>
      </c>
      <c r="I3" s="3" t="s">
        <v>30</v>
      </c>
    </row>
    <row r="4" spans="1:9" x14ac:dyDescent="0.35">
      <c r="A4">
        <v>2.0999999999999999E-3</v>
      </c>
      <c r="B4">
        <v>6091.5776911741759</v>
      </c>
      <c r="C4">
        <f t="shared" ref="C4:C67" si="1">0.000264*$H$11*A4/($H$6*$H$8*$H$7*$H$9*$H$9)</f>
        <v>34.609235294117639</v>
      </c>
      <c r="D4">
        <f t="shared" si="0"/>
        <v>3516.2621719889453</v>
      </c>
      <c r="E4">
        <f>C4*(D4-D3)/(C4-C3)</f>
        <v>3353.7213332150923</v>
      </c>
      <c r="G4" s="3" t="s">
        <v>23</v>
      </c>
      <c r="H4" s="3">
        <v>6102</v>
      </c>
      <c r="I4" s="3" t="s">
        <v>6</v>
      </c>
    </row>
    <row r="5" spans="1:9" x14ac:dyDescent="0.35">
      <c r="A5">
        <v>3.3999999999999998E-3</v>
      </c>
      <c r="B5">
        <v>6085.7378394062462</v>
      </c>
      <c r="C5">
        <f t="shared" si="1"/>
        <v>56.033999999999992</v>
      </c>
      <c r="D5">
        <f t="shared" si="0"/>
        <v>5486.5021835605221</v>
      </c>
      <c r="E5">
        <f t="shared" ref="E5:E67" si="2">C5*(D5-D4)/(C5-C4)</f>
        <v>5152.9354148795073</v>
      </c>
      <c r="G5" s="3" t="s">
        <v>24</v>
      </c>
      <c r="H5" s="3">
        <v>70</v>
      </c>
      <c r="I5" s="3" t="s">
        <v>31</v>
      </c>
    </row>
    <row r="6" spans="1:9" x14ac:dyDescent="0.35">
      <c r="A6">
        <v>4.7999999999999996E-3</v>
      </c>
      <c r="B6">
        <v>6079.1847976766294</v>
      </c>
      <c r="C6">
        <f t="shared" si="1"/>
        <v>79.106823529411756</v>
      </c>
      <c r="D6">
        <f t="shared" si="0"/>
        <v>7697.3571035589785</v>
      </c>
      <c r="E6">
        <f t="shared" si="2"/>
        <v>7580.0740114232785</v>
      </c>
      <c r="G6" s="3" t="s">
        <v>25</v>
      </c>
      <c r="H6" s="3">
        <v>0.1</v>
      </c>
      <c r="I6" s="3"/>
    </row>
    <row r="7" spans="1:9" x14ac:dyDescent="0.35">
      <c r="A7">
        <v>6.4000000000000003E-3</v>
      </c>
      <c r="B7">
        <v>6071.8584143703856</v>
      </c>
      <c r="C7">
        <f t="shared" si="1"/>
        <v>105.47576470588234</v>
      </c>
      <c r="D7">
        <f t="shared" si="0"/>
        <v>10169.120789298673</v>
      </c>
      <c r="E7">
        <f t="shared" si="2"/>
        <v>9887.0547429587787</v>
      </c>
      <c r="G7" s="3" t="s">
        <v>26</v>
      </c>
      <c r="H7" s="3">
        <f>17*POWER(10,-6)</f>
        <v>1.7E-5</v>
      </c>
      <c r="I7" s="3" t="s">
        <v>32</v>
      </c>
    </row>
    <row r="8" spans="1:9" x14ac:dyDescent="0.35">
      <c r="A8">
        <v>8.2000000000000007E-3</v>
      </c>
      <c r="B8">
        <v>6063.6483242830973</v>
      </c>
      <c r="C8">
        <f t="shared" si="1"/>
        <v>135.14082352941176</v>
      </c>
      <c r="D8">
        <f t="shared" si="0"/>
        <v>12939.028079996402</v>
      </c>
      <c r="E8">
        <f t="shared" si="2"/>
        <v>12618.466546511872</v>
      </c>
      <c r="G8" s="3" t="s">
        <v>27</v>
      </c>
      <c r="H8" s="3">
        <v>0.8</v>
      </c>
      <c r="I8" s="3" t="s">
        <v>33</v>
      </c>
    </row>
    <row r="9" spans="1:9" x14ac:dyDescent="0.35">
      <c r="A9">
        <v>1.03E-2</v>
      </c>
      <c r="B9">
        <v>6054.4643073534762</v>
      </c>
      <c r="C9">
        <f t="shared" si="1"/>
        <v>169.7500588235294</v>
      </c>
      <c r="D9">
        <f t="shared" si="0"/>
        <v>16037.517278140003</v>
      </c>
      <c r="E9">
        <f t="shared" si="2"/>
        <v>15197.351781370999</v>
      </c>
      <c r="G9" s="3" t="s">
        <v>28</v>
      </c>
      <c r="H9" s="3">
        <v>0.2</v>
      </c>
      <c r="I9" s="3" t="s">
        <v>31</v>
      </c>
    </row>
    <row r="10" spans="1:9" x14ac:dyDescent="0.35">
      <c r="A10">
        <v>1.2500000000000001E-2</v>
      </c>
      <c r="B10">
        <v>6044.196095774797</v>
      </c>
      <c r="C10">
        <f t="shared" si="1"/>
        <v>206.00735294117646</v>
      </c>
      <c r="D10">
        <f t="shared" si="0"/>
        <v>19501.790363065978</v>
      </c>
      <c r="E10">
        <f t="shared" si="2"/>
        <v>19683.369800715765</v>
      </c>
      <c r="G10" s="3" t="s">
        <v>29</v>
      </c>
      <c r="H10" s="3">
        <v>1.1359999999999999</v>
      </c>
      <c r="I10" s="3" t="s">
        <v>34</v>
      </c>
    </row>
    <row r="11" spans="1:9" x14ac:dyDescent="0.35">
      <c r="A11">
        <v>1.5100000000000001E-2</v>
      </c>
      <c r="B11">
        <v>6032.7133861146149</v>
      </c>
      <c r="C11">
        <f t="shared" si="1"/>
        <v>248.85688235294117</v>
      </c>
      <c r="D11">
        <f t="shared" si="0"/>
        <v>23375.808902028028</v>
      </c>
      <c r="E11">
        <f t="shared" si="2"/>
        <v>22499.107668587283</v>
      </c>
      <c r="G11" s="5" t="s">
        <v>3</v>
      </c>
      <c r="H11" s="5">
        <v>3.3959999999999999</v>
      </c>
      <c r="I11" s="5" t="s">
        <v>4</v>
      </c>
    </row>
    <row r="12" spans="1:9" x14ac:dyDescent="0.35">
      <c r="A12">
        <v>1.7999999999999999E-2</v>
      </c>
      <c r="B12">
        <v>6019.8859404167879</v>
      </c>
      <c r="C12">
        <f t="shared" si="1"/>
        <v>296.65058823529409</v>
      </c>
      <c r="D12">
        <f t="shared" si="0"/>
        <v>27703.512371987817</v>
      </c>
      <c r="E12">
        <f t="shared" si="2"/>
        <v>26861.607744578014</v>
      </c>
    </row>
    <row r="13" spans="1:9" x14ac:dyDescent="0.35">
      <c r="A13">
        <v>2.12E-2</v>
      </c>
      <c r="B13">
        <v>6005.5735421203208</v>
      </c>
      <c r="C13">
        <f t="shared" si="1"/>
        <v>349.38847058823529</v>
      </c>
      <c r="D13">
        <f t="shared" si="0"/>
        <v>32532.20681593</v>
      </c>
      <c r="E13">
        <f t="shared" si="2"/>
        <v>31990.100691116942</v>
      </c>
    </row>
    <row r="14" spans="1:9" x14ac:dyDescent="0.35">
      <c r="A14">
        <v>2.4899999999999999E-2</v>
      </c>
      <c r="B14">
        <v>5989.6059136048862</v>
      </c>
      <c r="C14">
        <f t="shared" si="1"/>
        <v>410.36664705882345</v>
      </c>
      <c r="D14">
        <f t="shared" si="0"/>
        <v>37919.34022979287</v>
      </c>
      <c r="E14">
        <f t="shared" si="2"/>
        <v>36253.951893293408</v>
      </c>
    </row>
    <row r="15" spans="1:9" x14ac:dyDescent="0.35">
      <c r="A15">
        <v>2.9000000000000001E-2</v>
      </c>
      <c r="B15">
        <v>5971.8329287043198</v>
      </c>
      <c r="C15">
        <f t="shared" si="1"/>
        <v>477.93705882352941</v>
      </c>
      <c r="D15">
        <f t="shared" si="0"/>
        <v>43915.561943579109</v>
      </c>
      <c r="E15">
        <f t="shared" si="2"/>
        <v>42412.299926780659</v>
      </c>
    </row>
    <row r="16" spans="1:9" x14ac:dyDescent="0.35">
      <c r="A16">
        <v>3.3599999999999998E-2</v>
      </c>
      <c r="B16">
        <v>5952.0543075510914</v>
      </c>
      <c r="C16">
        <f t="shared" si="1"/>
        <v>553.74776470588222</v>
      </c>
      <c r="D16">
        <f t="shared" si="0"/>
        <v>50588.442064236871</v>
      </c>
      <c r="E16">
        <f t="shared" si="2"/>
        <v>48741.037403065471</v>
      </c>
    </row>
    <row r="17" spans="1:5" x14ac:dyDescent="0.35">
      <c r="A17">
        <v>3.8800000000000001E-2</v>
      </c>
      <c r="B17">
        <v>5930.0698115670575</v>
      </c>
      <c r="C17">
        <f t="shared" si="1"/>
        <v>639.44682352941174</v>
      </c>
      <c r="D17">
        <f t="shared" si="0"/>
        <v>58005.536768565871</v>
      </c>
      <c r="E17">
        <f t="shared" si="2"/>
        <v>55342.937409223996</v>
      </c>
    </row>
    <row r="18" spans="1:5" x14ac:dyDescent="0.35">
      <c r="A18">
        <v>4.4699999999999997E-2</v>
      </c>
      <c r="B18">
        <v>5905.6691645946548</v>
      </c>
      <c r="C18">
        <f t="shared" si="1"/>
        <v>736.68229411764696</v>
      </c>
      <c r="D18">
        <f t="shared" si="0"/>
        <v>66237.788696135496</v>
      </c>
      <c r="E18">
        <f t="shared" si="2"/>
        <v>62369.773078366517</v>
      </c>
    </row>
    <row r="19" spans="1:5" x14ac:dyDescent="0.35">
      <c r="A19">
        <v>5.1299999999999998E-2</v>
      </c>
      <c r="B19">
        <v>5878.6420332160596</v>
      </c>
      <c r="C19">
        <f t="shared" si="1"/>
        <v>845.45417647058821</v>
      </c>
      <c r="D19">
        <f t="shared" si="0"/>
        <v>75356.159804891766</v>
      </c>
      <c r="E19">
        <f t="shared" si="2"/>
        <v>70874.611799878228</v>
      </c>
    </row>
    <row r="20" spans="1:5" x14ac:dyDescent="0.35">
      <c r="A20">
        <v>5.8700000000000002E-2</v>
      </c>
      <c r="B20">
        <v>5848.7277690121518</v>
      </c>
      <c r="C20">
        <f t="shared" si="1"/>
        <v>967.41052941176474</v>
      </c>
      <c r="D20">
        <f t="shared" si="0"/>
        <v>85448.587248843178</v>
      </c>
      <c r="E20">
        <f t="shared" si="2"/>
        <v>80057.4987783713</v>
      </c>
    </row>
    <row r="21" spans="1:5" x14ac:dyDescent="0.35">
      <c r="A21">
        <v>6.7000000000000004E-2</v>
      </c>
      <c r="B21">
        <v>5815.7156520695653</v>
      </c>
      <c r="C21">
        <f t="shared" si="1"/>
        <v>1104.1994117647057</v>
      </c>
      <c r="D21">
        <f t="shared" si="0"/>
        <v>96586.163381194478</v>
      </c>
      <c r="E21">
        <f t="shared" si="2"/>
        <v>89905.735044281697</v>
      </c>
    </row>
    <row r="22" spans="1:5" x14ac:dyDescent="0.35">
      <c r="A22">
        <v>7.6399999999999996E-2</v>
      </c>
      <c r="B22">
        <v>5779.3343528751593</v>
      </c>
      <c r="C22">
        <f t="shared" si="1"/>
        <v>1259.1169411764704</v>
      </c>
      <c r="D22">
        <f t="shared" si="0"/>
        <v>108860.42892666844</v>
      </c>
      <c r="E22">
        <f t="shared" si="2"/>
        <v>99761.051880235143</v>
      </c>
    </row>
    <row r="23" spans="1:5" x14ac:dyDescent="0.35">
      <c r="A23">
        <v>8.6900000000000005E-2</v>
      </c>
      <c r="B23">
        <v>5739.3420475374369</v>
      </c>
      <c r="C23">
        <f t="shared" si="1"/>
        <v>1432.1631176470587</v>
      </c>
      <c r="D23">
        <f t="shared" si="0"/>
        <v>122352.97004972867</v>
      </c>
      <c r="E23">
        <f t="shared" si="2"/>
        <v>111666.84034227939</v>
      </c>
    </row>
    <row r="24" spans="1:5" x14ac:dyDescent="0.35">
      <c r="A24">
        <v>9.8799999999999999E-2</v>
      </c>
      <c r="B24">
        <v>5695.4960686194745</v>
      </c>
      <c r="C24">
        <f t="shared" si="1"/>
        <v>1628.2821176470586</v>
      </c>
      <c r="D24">
        <f t="shared" si="0"/>
        <v>137145.65750886904</v>
      </c>
      <c r="E24">
        <f t="shared" si="2"/>
        <v>122816.59840025794</v>
      </c>
    </row>
    <row r="25" spans="1:5" x14ac:dyDescent="0.35">
      <c r="A25">
        <v>0.11210000000000001</v>
      </c>
      <c r="B25">
        <v>5647.5726846715115</v>
      </c>
      <c r="C25">
        <f t="shared" si="1"/>
        <v>1847.4739411764706</v>
      </c>
      <c r="D25">
        <f t="shared" si="0"/>
        <v>153313.97346899417</v>
      </c>
      <c r="E25">
        <f t="shared" si="2"/>
        <v>136275.80594962591</v>
      </c>
    </row>
    <row r="26" spans="1:5" x14ac:dyDescent="0.35">
      <c r="A26">
        <v>0.12709999999999999</v>
      </c>
      <c r="B26">
        <v>5595.3366719681144</v>
      </c>
      <c r="C26">
        <f t="shared" si="1"/>
        <v>2094.6827647058822</v>
      </c>
      <c r="D26">
        <f t="shared" si="0"/>
        <v>170937.27734091398</v>
      </c>
      <c r="E26">
        <f t="shared" si="2"/>
        <v>149328.12814140061</v>
      </c>
    </row>
    <row r="27" spans="1:5" x14ac:dyDescent="0.35">
      <c r="A27">
        <v>0.14399999999999999</v>
      </c>
      <c r="B27">
        <v>5538.6112156063155</v>
      </c>
      <c r="C27">
        <f t="shared" si="1"/>
        <v>2373.2047058823528</v>
      </c>
      <c r="D27">
        <f t="shared" si="0"/>
        <v>190075.22265870994</v>
      </c>
      <c r="E27">
        <f t="shared" si="2"/>
        <v>163068.88318122004</v>
      </c>
    </row>
    <row r="28" spans="1:5" x14ac:dyDescent="0.35">
      <c r="A28">
        <v>0.16300000000000001</v>
      </c>
      <c r="B28">
        <v>5477.2575387766228</v>
      </c>
      <c r="C28">
        <f t="shared" si="1"/>
        <v>2686.3358823529411</v>
      </c>
      <c r="D28">
        <f t="shared" si="0"/>
        <v>210774.62972426723</v>
      </c>
      <c r="E28">
        <f t="shared" si="2"/>
        <v>177579.12377293876</v>
      </c>
    </row>
    <row r="29" spans="1:5" x14ac:dyDescent="0.35">
      <c r="A29">
        <v>0.18440000000000001</v>
      </c>
      <c r="B29">
        <v>5411.1746593466569</v>
      </c>
      <c r="C29">
        <f t="shared" si="1"/>
        <v>3039.0204705882352</v>
      </c>
      <c r="D29">
        <f t="shared" si="0"/>
        <v>233069.56773070485</v>
      </c>
      <c r="E29">
        <f t="shared" si="2"/>
        <v>192111.52188724751</v>
      </c>
    </row>
    <row r="30" spans="1:5" x14ac:dyDescent="0.35">
      <c r="A30">
        <v>0.20899999999999999</v>
      </c>
      <c r="B30">
        <v>5340.3595765561167</v>
      </c>
      <c r="C30">
        <f t="shared" si="1"/>
        <v>3444.44294117647</v>
      </c>
      <c r="D30">
        <f t="shared" si="0"/>
        <v>256961.04906981718</v>
      </c>
      <c r="E30">
        <f t="shared" si="2"/>
        <v>202980.47153961312</v>
      </c>
    </row>
    <row r="31" spans="1:5" x14ac:dyDescent="0.35">
      <c r="A31">
        <v>0.23599999999999999</v>
      </c>
      <c r="B31">
        <v>5264.8571868322479</v>
      </c>
      <c r="C31">
        <f t="shared" si="1"/>
        <v>3889.4188235294114</v>
      </c>
      <c r="D31">
        <f t="shared" si="0"/>
        <v>282433.92665553925</v>
      </c>
      <c r="E31">
        <f t="shared" si="2"/>
        <v>222651.81889742243</v>
      </c>
    </row>
    <row r="32" spans="1:5" x14ac:dyDescent="0.35">
      <c r="A32">
        <v>0.26600000000000001</v>
      </c>
      <c r="B32">
        <v>5184.8411676707537</v>
      </c>
      <c r="C32">
        <f t="shared" si="1"/>
        <v>4383.836470588235</v>
      </c>
      <c r="D32">
        <f t="shared" si="0"/>
        <v>309429.60544732149</v>
      </c>
      <c r="E32">
        <f t="shared" si="2"/>
        <v>239361.68528713577</v>
      </c>
    </row>
    <row r="33" spans="1:5" x14ac:dyDescent="0.35">
      <c r="A33">
        <v>0.3</v>
      </c>
      <c r="B33">
        <v>5100.5846935122372</v>
      </c>
      <c r="C33">
        <f t="shared" si="1"/>
        <v>4944.1764705882342</v>
      </c>
      <c r="D33">
        <f t="shared" si="0"/>
        <v>337855.92228171357</v>
      </c>
      <c r="E33">
        <f t="shared" si="2"/>
        <v>250820.44265640102</v>
      </c>
    </row>
    <row r="34" spans="1:5" x14ac:dyDescent="0.35">
      <c r="A34">
        <v>0.33900000000000002</v>
      </c>
      <c r="B34">
        <v>5012.5019986649122</v>
      </c>
      <c r="C34">
        <f t="shared" si="1"/>
        <v>5586.9194117647057</v>
      </c>
      <c r="D34">
        <f t="shared" si="0"/>
        <v>367573.12343881949</v>
      </c>
      <c r="E34">
        <f t="shared" si="2"/>
        <v>258311.05621176638</v>
      </c>
    </row>
    <row r="35" spans="1:5" x14ac:dyDescent="0.35">
      <c r="A35">
        <v>0.38200000000000001</v>
      </c>
      <c r="B35">
        <v>4921.1501146603032</v>
      </c>
      <c r="C35">
        <f t="shared" si="1"/>
        <v>6295.5847058823529</v>
      </c>
      <c r="D35">
        <f t="shared" si="0"/>
        <v>398393.27849596256</v>
      </c>
      <c r="E35">
        <f t="shared" si="2"/>
        <v>273797.6565541547</v>
      </c>
    </row>
    <row r="36" spans="1:5" x14ac:dyDescent="0.35">
      <c r="A36">
        <v>0.43099999999999999</v>
      </c>
      <c r="B36">
        <v>4827.2308590848334</v>
      </c>
      <c r="C36">
        <f t="shared" si="1"/>
        <v>7103.1335294117644</v>
      </c>
      <c r="D36">
        <f t="shared" si="0"/>
        <v>430079.60933880962</v>
      </c>
      <c r="E36">
        <f t="shared" si="2"/>
        <v>278710.37945443037</v>
      </c>
    </row>
    <row r="37" spans="1:5" x14ac:dyDescent="0.35">
      <c r="A37">
        <v>0.48599999999999999</v>
      </c>
      <c r="B37">
        <v>4731.6030263533967</v>
      </c>
      <c r="C37">
        <f t="shared" si="1"/>
        <v>8009.5658823529402</v>
      </c>
      <c r="D37">
        <f t="shared" si="0"/>
        <v>462342.37725734228</v>
      </c>
      <c r="E37">
        <f t="shared" si="2"/>
        <v>285085.54924376146</v>
      </c>
    </row>
    <row r="38" spans="1:5" x14ac:dyDescent="0.35">
      <c r="A38">
        <v>0.54700000000000004</v>
      </c>
      <c r="B38">
        <v>4635.2437475462939</v>
      </c>
      <c r="C38">
        <f t="shared" si="1"/>
        <v>9014.8817647058841</v>
      </c>
      <c r="D38">
        <f t="shared" si="0"/>
        <v>494851.91930334485</v>
      </c>
      <c r="E38">
        <f t="shared" si="2"/>
        <v>291519.99178956338</v>
      </c>
    </row>
    <row r="39" spans="1:5" x14ac:dyDescent="0.35">
      <c r="A39">
        <v>0.61699999999999999</v>
      </c>
      <c r="B39">
        <v>4539.2700598955653</v>
      </c>
      <c r="C39">
        <f t="shared" si="1"/>
        <v>10168.522941176469</v>
      </c>
      <c r="D39">
        <f t="shared" si="0"/>
        <v>527231.37121100386</v>
      </c>
      <c r="E39">
        <f t="shared" si="2"/>
        <v>285401.74038608099</v>
      </c>
    </row>
    <row r="40" spans="1:5" x14ac:dyDescent="0.35">
      <c r="A40">
        <v>0.69499999999999995</v>
      </c>
      <c r="B40">
        <v>4444.8683998805818</v>
      </c>
      <c r="C40">
        <f t="shared" si="1"/>
        <v>11454.00882352941</v>
      </c>
      <c r="D40">
        <f t="shared" si="0"/>
        <v>559080.45490550867</v>
      </c>
      <c r="E40">
        <f t="shared" si="2"/>
        <v>283783.50214975432</v>
      </c>
    </row>
    <row r="41" spans="1:5" x14ac:dyDescent="0.35">
      <c r="A41">
        <v>0.78300000000000003</v>
      </c>
      <c r="B41">
        <v>4353.2329644530801</v>
      </c>
      <c r="C41">
        <f t="shared" si="1"/>
        <v>12904.300588235294</v>
      </c>
      <c r="D41">
        <f t="shared" si="0"/>
        <v>589996.27409607871</v>
      </c>
      <c r="E41">
        <f t="shared" si="2"/>
        <v>275080.52757063991</v>
      </c>
    </row>
    <row r="42" spans="1:5" x14ac:dyDescent="0.35">
      <c r="A42">
        <v>0.88200000000000001</v>
      </c>
      <c r="B42">
        <v>4265.5539575272123</v>
      </c>
      <c r="C42">
        <f t="shared" si="1"/>
        <v>14535.878823529411</v>
      </c>
      <c r="D42">
        <f t="shared" si="0"/>
        <v>619577.27965667809</v>
      </c>
      <c r="E42">
        <f t="shared" si="2"/>
        <v>263539.86772170372</v>
      </c>
    </row>
    <row r="43" spans="1:5" x14ac:dyDescent="0.35">
      <c r="A43">
        <v>0.99299999999999999</v>
      </c>
      <c r="B43">
        <v>4182.9032634701343</v>
      </c>
      <c r="C43">
        <f t="shared" si="1"/>
        <v>16365.224117647056</v>
      </c>
      <c r="D43">
        <f t="shared" si="0"/>
        <v>647461.8409240857</v>
      </c>
      <c r="E43">
        <f t="shared" si="2"/>
        <v>249453.77782464665</v>
      </c>
    </row>
    <row r="44" spans="1:5" x14ac:dyDescent="0.35">
      <c r="A44">
        <v>1.1180000000000001</v>
      </c>
      <c r="B44">
        <v>4106.1705376583559</v>
      </c>
      <c r="C44">
        <f t="shared" si="1"/>
        <v>18425.297647058826</v>
      </c>
      <c r="D44">
        <f t="shared" si="0"/>
        <v>673349.80736555438</v>
      </c>
      <c r="E44">
        <f t="shared" si="2"/>
        <v>231541.97185249542</v>
      </c>
    </row>
    <row r="45" spans="1:5" x14ac:dyDescent="0.35">
      <c r="A45">
        <v>1.2589999999999999</v>
      </c>
      <c r="B45">
        <v>4036.0096755094937</v>
      </c>
      <c r="C45">
        <f t="shared" si="1"/>
        <v>20749.06058823529</v>
      </c>
      <c r="D45">
        <f t="shared" si="0"/>
        <v>697020.56877274846</v>
      </c>
      <c r="E45">
        <f t="shared" si="2"/>
        <v>211358.07525998165</v>
      </c>
    </row>
    <row r="46" spans="1:5" x14ac:dyDescent="0.35">
      <c r="A46">
        <v>1.417</v>
      </c>
      <c r="B46">
        <v>3972.806301095728</v>
      </c>
      <c r="C46">
        <f t="shared" si="1"/>
        <v>23352.993529411764</v>
      </c>
      <c r="D46">
        <f t="shared" si="0"/>
        <v>718344.02390224149</v>
      </c>
      <c r="E46">
        <f t="shared" si="2"/>
        <v>191236.30328159229</v>
      </c>
    </row>
    <row r="47" spans="1:5" x14ac:dyDescent="0.35">
      <c r="A47">
        <v>1.595</v>
      </c>
      <c r="B47">
        <v>3916.6051368421636</v>
      </c>
      <c r="C47">
        <f t="shared" si="1"/>
        <v>26286.538235294112</v>
      </c>
      <c r="D47">
        <f t="shared" si="0"/>
        <v>737305.08437253709</v>
      </c>
      <c r="E47">
        <f t="shared" si="2"/>
        <v>169903.88455124456</v>
      </c>
    </row>
    <row r="48" spans="1:5" x14ac:dyDescent="0.35">
      <c r="A48">
        <v>1.7949999999999999</v>
      </c>
      <c r="B48">
        <v>3867.1710475453906</v>
      </c>
      <c r="C48">
        <f t="shared" si="1"/>
        <v>29582.655882352938</v>
      </c>
      <c r="D48">
        <f t="shared" si="0"/>
        <v>753983.07972902397</v>
      </c>
      <c r="E48">
        <f t="shared" si="2"/>
        <v>149685.00832446961</v>
      </c>
    </row>
    <row r="49" spans="1:5" x14ac:dyDescent="0.35">
      <c r="A49">
        <v>2.02</v>
      </c>
      <c r="B49">
        <v>3824.0098499971914</v>
      </c>
      <c r="C49">
        <f t="shared" si="1"/>
        <v>33290.788235294116</v>
      </c>
      <c r="D49">
        <f t="shared" si="0"/>
        <v>768544.73672583385</v>
      </c>
      <c r="E49">
        <f t="shared" si="2"/>
        <v>130731.32059358194</v>
      </c>
    </row>
    <row r="50" spans="1:5" x14ac:dyDescent="0.35">
      <c r="A50">
        <v>2.2799999999999998</v>
      </c>
      <c r="B50">
        <v>3786.4098903176327</v>
      </c>
      <c r="C50">
        <f t="shared" si="1"/>
        <v>37575.741176470583</v>
      </c>
      <c r="D50">
        <f t="shared" si="0"/>
        <v>781230.15203054564</v>
      </c>
      <c r="E50">
        <f t="shared" si="2"/>
        <v>111241.3342105496</v>
      </c>
    </row>
    <row r="51" spans="1:5" x14ac:dyDescent="0.35">
      <c r="A51">
        <v>2.56</v>
      </c>
      <c r="B51">
        <v>3753.5450946801898</v>
      </c>
      <c r="C51">
        <f t="shared" si="1"/>
        <v>42190.305882352943</v>
      </c>
      <c r="D51">
        <f t="shared" si="0"/>
        <v>792318.02513249731</v>
      </c>
      <c r="E51">
        <f t="shared" si="2"/>
        <v>101374.83978927227</v>
      </c>
    </row>
    <row r="52" spans="1:5" x14ac:dyDescent="0.35">
      <c r="A52">
        <v>2.88</v>
      </c>
      <c r="B52">
        <v>3724.5881809497614</v>
      </c>
      <c r="C52">
        <f t="shared" si="1"/>
        <v>47464.094117647059</v>
      </c>
      <c r="D52">
        <f t="shared" si="0"/>
        <v>802087.46317827527</v>
      </c>
      <c r="E52">
        <f t="shared" si="2"/>
        <v>87924.942412001692</v>
      </c>
    </row>
    <row r="53" spans="1:5" x14ac:dyDescent="0.35">
      <c r="A53">
        <v>3.24</v>
      </c>
      <c r="B53">
        <v>3698.7213856128719</v>
      </c>
      <c r="C53">
        <f t="shared" si="1"/>
        <v>53397.105882352938</v>
      </c>
      <c r="D53">
        <f t="shared" si="0"/>
        <v>810814.3619368613</v>
      </c>
      <c r="E53">
        <f t="shared" si="2"/>
        <v>78542.088827274303</v>
      </c>
    </row>
    <row r="54" spans="1:5" x14ac:dyDescent="0.35">
      <c r="A54">
        <v>3.65</v>
      </c>
      <c r="B54">
        <v>3675.2391133032079</v>
      </c>
      <c r="C54">
        <f t="shared" si="1"/>
        <v>60154.147058823524</v>
      </c>
      <c r="D54">
        <f t="shared" si="0"/>
        <v>818736.77406403096</v>
      </c>
      <c r="E54">
        <f t="shared" si="2"/>
        <v>70528.790888217758</v>
      </c>
    </row>
    <row r="55" spans="1:5" x14ac:dyDescent="0.35">
      <c r="A55">
        <v>4.1100000000000003</v>
      </c>
      <c r="B55">
        <v>3653.5481343468041</v>
      </c>
      <c r="C55">
        <f t="shared" si="1"/>
        <v>67735.217647058831</v>
      </c>
      <c r="D55">
        <f t="shared" si="0"/>
        <v>826054.84245486849</v>
      </c>
      <c r="E55">
        <f t="shared" si="2"/>
        <v>65385.350187700358</v>
      </c>
    </row>
    <row r="56" spans="1:5" x14ac:dyDescent="0.35">
      <c r="A56">
        <v>4.62</v>
      </c>
      <c r="B56">
        <v>3633.2086168943251</v>
      </c>
      <c r="C56">
        <f t="shared" si="1"/>
        <v>76140.317647058822</v>
      </c>
      <c r="D56">
        <f t="shared" si="0"/>
        <v>832916.9568874645</v>
      </c>
      <c r="E56">
        <f t="shared" si="2"/>
        <v>62162.683683516945</v>
      </c>
    </row>
    <row r="57" spans="1:5" x14ac:dyDescent="0.35">
      <c r="A57">
        <v>5.2</v>
      </c>
      <c r="B57">
        <v>3613.8830174587483</v>
      </c>
      <c r="C57">
        <f t="shared" si="1"/>
        <v>85699.058823529413</v>
      </c>
      <c r="D57">
        <f t="shared" si="0"/>
        <v>839436.99725298851</v>
      </c>
      <c r="E57">
        <f t="shared" si="2"/>
        <v>58455.534311594536</v>
      </c>
    </row>
    <row r="58" spans="1:5" x14ac:dyDescent="0.35">
      <c r="A58">
        <v>5.85</v>
      </c>
      <c r="B58">
        <v>3595.3361000695672</v>
      </c>
      <c r="C58">
        <f t="shared" si="1"/>
        <v>96411.441176470573</v>
      </c>
      <c r="D58">
        <f t="shared" si="0"/>
        <v>845694.32709347375</v>
      </c>
      <c r="E58">
        <f t="shared" si="2"/>
        <v>56315.968564367235</v>
      </c>
    </row>
    <row r="59" spans="1:5" x14ac:dyDescent="0.35">
      <c r="A59">
        <v>6.58</v>
      </c>
      <c r="B59">
        <v>3577.3837891017811</v>
      </c>
      <c r="C59">
        <f t="shared" si="1"/>
        <v>108442.27058823529</v>
      </c>
      <c r="D59">
        <f t="shared" si="0"/>
        <v>851751.04955399036</v>
      </c>
      <c r="E59">
        <f t="shared" si="2"/>
        <v>54593.470945478453</v>
      </c>
    </row>
    <row r="60" spans="1:5" x14ac:dyDescent="0.35">
      <c r="A60">
        <v>7.4</v>
      </c>
      <c r="B60">
        <v>3559.9238546875476</v>
      </c>
      <c r="C60">
        <f t="shared" si="1"/>
        <v>121956.35294117648</v>
      </c>
      <c r="D60">
        <f t="shared" si="0"/>
        <v>857641.65478668665</v>
      </c>
      <c r="E60">
        <f t="shared" si="2"/>
        <v>53159.120392624944</v>
      </c>
    </row>
    <row r="61" spans="1:5" x14ac:dyDescent="0.35">
      <c r="A61">
        <v>8.33</v>
      </c>
      <c r="B61">
        <v>3542.8643025705733</v>
      </c>
      <c r="C61">
        <f t="shared" si="1"/>
        <v>137283.29999999999</v>
      </c>
      <c r="D61">
        <f t="shared" si="0"/>
        <v>863397.17966917332</v>
      </c>
      <c r="E61">
        <f t="shared" si="2"/>
        <v>51552.174485068848</v>
      </c>
    </row>
    <row r="62" spans="1:5" x14ac:dyDescent="0.35">
      <c r="A62">
        <v>9.3699999999999992</v>
      </c>
      <c r="B62">
        <v>3526.1438302145184</v>
      </c>
      <c r="C62">
        <f t="shared" si="1"/>
        <v>154423.11176470586</v>
      </c>
      <c r="D62">
        <f t="shared" si="0"/>
        <v>869038.3063548177</v>
      </c>
      <c r="E62">
        <f t="shared" si="2"/>
        <v>50824.381773546062</v>
      </c>
    </row>
    <row r="63" spans="1:5" x14ac:dyDescent="0.35">
      <c r="A63">
        <v>10.55</v>
      </c>
      <c r="B63">
        <v>3509.6909182527374</v>
      </c>
      <c r="C63">
        <f t="shared" si="1"/>
        <v>173870.20588235292</v>
      </c>
      <c r="D63">
        <f t="shared" si="0"/>
        <v>874589.16393513896</v>
      </c>
      <c r="E63">
        <f t="shared" si="2"/>
        <v>49628.430061346822</v>
      </c>
    </row>
    <row r="64" spans="1:5" x14ac:dyDescent="0.35">
      <c r="A64">
        <v>11.86</v>
      </c>
      <c r="B64">
        <v>3493.4749605056754</v>
      </c>
      <c r="C64">
        <f t="shared" si="1"/>
        <v>195459.77647058823</v>
      </c>
      <c r="D64">
        <f t="shared" si="0"/>
        <v>880060.07827489485</v>
      </c>
      <c r="E64">
        <f t="shared" si="2"/>
        <v>49530.56799198845</v>
      </c>
    </row>
    <row r="65" spans="1:5" x14ac:dyDescent="0.35">
      <c r="A65">
        <v>13.35</v>
      </c>
      <c r="B65">
        <v>3477.4653544894513</v>
      </c>
      <c r="C65">
        <f t="shared" si="1"/>
        <v>220015.85294117645</v>
      </c>
      <c r="D65">
        <f t="shared" si="0"/>
        <v>885461.37399200234</v>
      </c>
      <c r="E65">
        <f t="shared" si="2"/>
        <v>48394.159613010015</v>
      </c>
    </row>
    <row r="66" spans="1:5" x14ac:dyDescent="0.35">
      <c r="A66">
        <v>15.02</v>
      </c>
      <c r="B66">
        <v>3461.6315038376747</v>
      </c>
      <c r="C66">
        <f t="shared" si="1"/>
        <v>247538.43529411763</v>
      </c>
      <c r="D66">
        <f t="shared" si="0"/>
        <v>890803.37364046916</v>
      </c>
      <c r="E66">
        <f t="shared" si="2"/>
        <v>48046.008814354282</v>
      </c>
    </row>
    <row r="67" spans="1:5" x14ac:dyDescent="0.35">
      <c r="A67">
        <v>16.899999999999999</v>
      </c>
      <c r="B67">
        <v>3445.9428206627367</v>
      </c>
      <c r="C67">
        <f t="shared" si="1"/>
        <v>278521.94117647054</v>
      </c>
      <c r="D67">
        <f t="shared" ref="D67:D80" si="3">141.2*$H$3*$H$10*($B$2-B67)/($H$11*$H$5)</f>
        <v>896096.39691374486</v>
      </c>
      <c r="E67">
        <f t="shared" si="2"/>
        <v>47580.900701254999</v>
      </c>
    </row>
    <row r="68" spans="1:5" x14ac:dyDescent="0.35">
      <c r="A68">
        <v>19.010000000000002</v>
      </c>
      <c r="B68">
        <v>3430.3891648584636</v>
      </c>
      <c r="C68">
        <f t="shared" ref="C68:C80" si="4">0.000264*$H$11*A68/($H$6*$H$8*$H$7*$H$9*$H$9)</f>
        <v>313295.98235294118</v>
      </c>
      <c r="D68">
        <f t="shared" si="3"/>
        <v>901343.86486491433</v>
      </c>
      <c r="E68">
        <f t="shared" ref="E68:E80" si="5">C68*(D68-D67)/(C68-C67)</f>
        <v>47276.950593237671</v>
      </c>
    </row>
    <row r="69" spans="1:5" x14ac:dyDescent="0.35">
      <c r="A69">
        <v>21.39</v>
      </c>
      <c r="B69">
        <v>3414.9399632701547</v>
      </c>
      <c r="C69">
        <f t="shared" si="4"/>
        <v>352519.78235294117</v>
      </c>
      <c r="D69">
        <f t="shared" si="3"/>
        <v>906556.09221686155</v>
      </c>
      <c r="E69">
        <f t="shared" si="5"/>
        <v>46844.345822752563</v>
      </c>
    </row>
    <row r="70" spans="1:5" x14ac:dyDescent="0.35">
      <c r="A70">
        <v>24.06</v>
      </c>
      <c r="B70">
        <v>3399.6055186191247</v>
      </c>
      <c r="C70">
        <f t="shared" si="4"/>
        <v>396522.95294117642</v>
      </c>
      <c r="D70">
        <f t="shared" si="3"/>
        <v>911729.60305366141</v>
      </c>
      <c r="E70">
        <f t="shared" si="5"/>
        <v>46619.726866443736</v>
      </c>
    </row>
    <row r="71" spans="1:5" x14ac:dyDescent="0.35">
      <c r="A71">
        <v>27.07</v>
      </c>
      <c r="B71">
        <v>3384.3450551817418</v>
      </c>
      <c r="C71">
        <f t="shared" si="4"/>
        <v>446129.52352941176</v>
      </c>
      <c r="D71">
        <f t="shared" si="3"/>
        <v>916878.15422486956</v>
      </c>
      <c r="E71">
        <f t="shared" si="5"/>
        <v>46302.7508985397</v>
      </c>
    </row>
    <row r="72" spans="1:5" x14ac:dyDescent="0.35">
      <c r="A72">
        <v>30.45</v>
      </c>
      <c r="B72">
        <v>3369.16888100493</v>
      </c>
      <c r="C72">
        <f t="shared" si="4"/>
        <v>501833.91176470579</v>
      </c>
      <c r="D72">
        <f t="shared" si="3"/>
        <v>921998.26801781508</v>
      </c>
      <c r="E72">
        <f t="shared" si="5"/>
        <v>46126.468933488504</v>
      </c>
    </row>
    <row r="73" spans="1:5" x14ac:dyDescent="0.35">
      <c r="A73">
        <v>34.26</v>
      </c>
      <c r="B73">
        <v>3354.0566645906911</v>
      </c>
      <c r="C73">
        <f t="shared" si="4"/>
        <v>564624.95294117637</v>
      </c>
      <c r="D73">
        <f t="shared" si="3"/>
        <v>927096.80384133942</v>
      </c>
      <c r="E73">
        <f t="shared" si="5"/>
        <v>45846.676460352792</v>
      </c>
    </row>
    <row r="74" spans="1:5" x14ac:dyDescent="0.35">
      <c r="A74">
        <v>38.549999999999997</v>
      </c>
      <c r="B74">
        <v>3339.0085035075526</v>
      </c>
      <c r="C74">
        <f t="shared" si="4"/>
        <v>635326.67647058808</v>
      </c>
      <c r="D74">
        <f t="shared" si="3"/>
        <v>932173.7287779263</v>
      </c>
      <c r="E74">
        <f t="shared" si="5"/>
        <v>45621.318486112847</v>
      </c>
    </row>
    <row r="75" spans="1:5" x14ac:dyDescent="0.35">
      <c r="A75">
        <v>43.37</v>
      </c>
      <c r="B75">
        <v>3324.0142876129057</v>
      </c>
      <c r="C75">
        <f t="shared" si="4"/>
        <v>714763.11176470574</v>
      </c>
      <c r="D75">
        <f t="shared" si="3"/>
        <v>937232.45377160003</v>
      </c>
      <c r="E75">
        <f t="shared" si="5"/>
        <v>45518.029662993737</v>
      </c>
    </row>
    <row r="76" spans="1:5" x14ac:dyDescent="0.35">
      <c r="A76">
        <v>48.79</v>
      </c>
      <c r="B76">
        <v>3309.0639134908238</v>
      </c>
      <c r="C76">
        <f t="shared" si="4"/>
        <v>804087.89999999991</v>
      </c>
      <c r="D76">
        <f t="shared" si="3"/>
        <v>942276.38749694743</v>
      </c>
      <c r="E76">
        <f t="shared" si="5"/>
        <v>45404.709678911284</v>
      </c>
    </row>
    <row r="77" spans="1:5" x14ac:dyDescent="0.35">
      <c r="A77">
        <v>54.89</v>
      </c>
      <c r="B77">
        <v>3294.157487050662</v>
      </c>
      <c r="C77">
        <f t="shared" si="4"/>
        <v>904619.488235294</v>
      </c>
      <c r="D77">
        <f t="shared" si="3"/>
        <v>947305.49422243645</v>
      </c>
      <c r="E77">
        <f t="shared" si="5"/>
        <v>45253.716092146307</v>
      </c>
    </row>
    <row r="78" spans="1:5" x14ac:dyDescent="0.35">
      <c r="A78">
        <v>61.75</v>
      </c>
      <c r="B78">
        <v>3279.2849139548098</v>
      </c>
      <c r="C78">
        <f t="shared" si="4"/>
        <v>1017676.3235294117</v>
      </c>
      <c r="D78">
        <f t="shared" si="3"/>
        <v>952323.17955982639</v>
      </c>
      <c r="E78">
        <f t="shared" si="5"/>
        <v>45166.48244662222</v>
      </c>
    </row>
    <row r="79" spans="1:5" x14ac:dyDescent="0.35">
      <c r="A79">
        <v>69.47</v>
      </c>
      <c r="B79">
        <v>3264.4463057072235</v>
      </c>
      <c r="C79">
        <f t="shared" si="4"/>
        <v>1144906.4647058821</v>
      </c>
      <c r="D79">
        <f t="shared" si="3"/>
        <v>957329.40589008713</v>
      </c>
      <c r="E79">
        <f t="shared" si="5"/>
        <v>45049.552223214298</v>
      </c>
    </row>
    <row r="80" spans="1:5" x14ac:dyDescent="0.35">
      <c r="A80">
        <v>72</v>
      </c>
      <c r="B80">
        <v>3259.9495140990689</v>
      </c>
      <c r="C80">
        <f t="shared" si="4"/>
        <v>1186602.3529411764</v>
      </c>
      <c r="D80">
        <f t="shared" si="3"/>
        <v>958846.52637570293</v>
      </c>
      <c r="E80">
        <f t="shared" si="5"/>
        <v>43174.970341635271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Dimensionless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Upadhyay</dc:creator>
  <cp:lastModifiedBy>Anuj Agrawal</cp:lastModifiedBy>
  <dcterms:created xsi:type="dcterms:W3CDTF">2020-08-22T02:17:15Z</dcterms:created>
  <dcterms:modified xsi:type="dcterms:W3CDTF">2026-10-22T08:27:42Z</dcterms:modified>
</cp:coreProperties>
</file>