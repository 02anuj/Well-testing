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02anu\OneDrive\Desktop\Proj\"/>
    </mc:Choice>
  </mc:AlternateContent>
  <xr:revisionPtr revIDLastSave="0" documentId="13_ncr:1_{D85C7DF9-05C8-4C13-829D-D3F7DE950E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uto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7" i="1" l="1"/>
  <c r="AK6" i="1"/>
  <c r="AK7" i="1" s="1"/>
  <c r="AK8" i="1" s="1"/>
  <c r="AG17" i="1"/>
  <c r="AH15" i="1"/>
  <c r="C57" i="1"/>
  <c r="C56" i="1"/>
  <c r="AG11" i="1"/>
  <c r="AG10" i="1"/>
  <c r="AG7" i="1"/>
  <c r="X55" i="1"/>
  <c r="N61" i="1"/>
  <c r="N59" i="1"/>
  <c r="N58" i="1"/>
  <c r="N56" i="1"/>
  <c r="C59" i="1"/>
  <c r="K28" i="1"/>
  <c r="K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D4" i="1"/>
  <c r="E4" i="1" s="1"/>
  <c r="E5" i="1"/>
  <c r="E6" i="1"/>
  <c r="E7" i="1"/>
  <c r="E8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5" i="1"/>
  <c r="D6" i="1"/>
  <c r="D7" i="1"/>
  <c r="D8" i="1"/>
  <c r="D9" i="1"/>
  <c r="E9" i="1" s="1"/>
  <c r="D10" i="1"/>
  <c r="E10" i="1" s="1"/>
  <c r="D11" i="1"/>
  <c r="E11" i="1" s="1"/>
  <c r="D12" i="1"/>
  <c r="E12" i="1" s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" i="1"/>
  <c r="E3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T46" i="1"/>
  <c r="T45" i="1"/>
  <c r="T43" i="1"/>
  <c r="O62" i="1" l="1"/>
  <c r="C60" i="1"/>
  <c r="C61" i="1" s="1"/>
  <c r="C62" i="1" s="1"/>
  <c r="N64" i="1" l="1"/>
</calcChain>
</file>

<file path=xl/sharedStrings.xml><?xml version="1.0" encoding="utf-8"?>
<sst xmlns="http://schemas.openxmlformats.org/spreadsheetml/2006/main" count="72" uniqueCount="58">
  <si>
    <t>t (hrs)</t>
  </si>
  <si>
    <t>FBHP (psia)</t>
  </si>
  <si>
    <t>md</t>
  </si>
  <si>
    <t>slope</t>
  </si>
  <si>
    <t>Area</t>
  </si>
  <si>
    <t>ft2</t>
  </si>
  <si>
    <t>bbl</t>
  </si>
  <si>
    <t>Delta P</t>
  </si>
  <si>
    <t>d P/dt</t>
  </si>
  <si>
    <t>t*dp/dt</t>
  </si>
  <si>
    <t>stabilisation</t>
  </si>
  <si>
    <t>y=at^b</t>
  </si>
  <si>
    <t>a</t>
  </si>
  <si>
    <t>k</t>
  </si>
  <si>
    <t>Reservoir parameters</t>
  </si>
  <si>
    <t>Q</t>
  </si>
  <si>
    <t>stb/day</t>
  </si>
  <si>
    <t>h</t>
  </si>
  <si>
    <t>ft</t>
  </si>
  <si>
    <t>Phie</t>
  </si>
  <si>
    <t>Ct</t>
  </si>
  <si>
    <t>Boi</t>
  </si>
  <si>
    <t>uo</t>
  </si>
  <si>
    <t>cp</t>
  </si>
  <si>
    <t>rbbl/stb</t>
  </si>
  <si>
    <t>psi-1</t>
  </si>
  <si>
    <t>rw</t>
  </si>
  <si>
    <t>pwf=-31.92ln(t)+3657.8</t>
  </si>
  <si>
    <t>Pwf at 1hr</t>
  </si>
  <si>
    <t>psi</t>
  </si>
  <si>
    <t>Pi-pwf at 1hr</t>
  </si>
  <si>
    <t>k/phie*u*ct*rw**2</t>
  </si>
  <si>
    <t>skin</t>
  </si>
  <si>
    <t>Transient Flow</t>
  </si>
  <si>
    <t>Pwf=.2194*t+3530</t>
  </si>
  <si>
    <t>acre</t>
  </si>
  <si>
    <t>For shape factor</t>
  </si>
  <si>
    <t>Ca</t>
  </si>
  <si>
    <t>IARF</t>
  </si>
  <si>
    <t>K=7.283</t>
  </si>
  <si>
    <t>skin=5.692</t>
  </si>
  <si>
    <t>Del P due to skin</t>
  </si>
  <si>
    <t>(pi-pwf at  t=0)/141.2qu/kh</t>
  </si>
  <si>
    <t>pi-Pwf at t=0</t>
  </si>
  <si>
    <t>Almost circular reservoir</t>
  </si>
  <si>
    <t>Cs</t>
  </si>
  <si>
    <t>rbbl/psi</t>
  </si>
  <si>
    <t>Calculation of parameter using Diagnostic Plot</t>
  </si>
  <si>
    <t>Wellbore Region</t>
  </si>
  <si>
    <t>t</t>
  </si>
  <si>
    <t>For Stabilization</t>
  </si>
  <si>
    <t>at t</t>
  </si>
  <si>
    <t>delta P</t>
  </si>
  <si>
    <t>log(kt/phie*u*ct*rw^2)</t>
  </si>
  <si>
    <t>Semi-steady state</t>
  </si>
  <si>
    <t>P-dash</t>
  </si>
  <si>
    <t>dp/dt</t>
  </si>
  <si>
    <t>ft^2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</si>
</sst>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Semi-Log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9059923334828"/>
          <c:y val="0.1282503457814661"/>
          <c:w val="0.85109992318921301"/>
          <c:h val="0.7221008810620663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Tutorial!$A$2:$A$31</c:f>
              <c:numCache>
                <c:formatCode>General</c:formatCode>
                <c:ptCount val="30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Tutorial!$B$2:$B$31</c:f>
              <c:numCache>
                <c:formatCode>General</c:formatCode>
                <c:ptCount val="30"/>
                <c:pt idx="0">
                  <c:v>4412</c:v>
                </c:pt>
                <c:pt idx="1">
                  <c:v>3812</c:v>
                </c:pt>
                <c:pt idx="2">
                  <c:v>3699</c:v>
                </c:pt>
                <c:pt idx="3">
                  <c:v>3653</c:v>
                </c:pt>
                <c:pt idx="4">
                  <c:v>3628</c:v>
                </c:pt>
                <c:pt idx="5">
                  <c:v>3615</c:v>
                </c:pt>
                <c:pt idx="6">
                  <c:v>3607</c:v>
                </c:pt>
                <c:pt idx="7">
                  <c:v>3600</c:v>
                </c:pt>
                <c:pt idx="8">
                  <c:v>3593</c:v>
                </c:pt>
                <c:pt idx="9">
                  <c:v>3586</c:v>
                </c:pt>
                <c:pt idx="10">
                  <c:v>3573</c:v>
                </c:pt>
                <c:pt idx="11">
                  <c:v>3567</c:v>
                </c:pt>
                <c:pt idx="12">
                  <c:v>3561</c:v>
                </c:pt>
                <c:pt idx="13">
                  <c:v>3555</c:v>
                </c:pt>
                <c:pt idx="14">
                  <c:v>3549</c:v>
                </c:pt>
                <c:pt idx="15">
                  <c:v>3544</c:v>
                </c:pt>
                <c:pt idx="16">
                  <c:v>3537</c:v>
                </c:pt>
                <c:pt idx="17">
                  <c:v>3532</c:v>
                </c:pt>
                <c:pt idx="18">
                  <c:v>3526</c:v>
                </c:pt>
                <c:pt idx="19">
                  <c:v>3521</c:v>
                </c:pt>
                <c:pt idx="20">
                  <c:v>3515</c:v>
                </c:pt>
                <c:pt idx="21">
                  <c:v>3509</c:v>
                </c:pt>
                <c:pt idx="22">
                  <c:v>3503</c:v>
                </c:pt>
                <c:pt idx="23">
                  <c:v>3497</c:v>
                </c:pt>
                <c:pt idx="24">
                  <c:v>3490</c:v>
                </c:pt>
                <c:pt idx="25">
                  <c:v>3481</c:v>
                </c:pt>
                <c:pt idx="26">
                  <c:v>3472</c:v>
                </c:pt>
                <c:pt idx="27">
                  <c:v>3460</c:v>
                </c:pt>
                <c:pt idx="28">
                  <c:v>3446</c:v>
                </c:pt>
                <c:pt idx="29">
                  <c:v>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6-4CBC-B7ED-DF3AA808E93E}"/>
            </c:ext>
          </c:extLst>
        </c:ser>
        <c:ser>
          <c:idx val="1"/>
          <c:order val="1"/>
          <c:tx>
            <c:v>MTR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5"/>
            <c:backward val="5"/>
            <c:dispRSqr val="0"/>
            <c:dispEq val="1"/>
            <c:trendlineLbl>
              <c:layout>
                <c:manualLayout>
                  <c:x val="-4.1596681482775816E-2"/>
                  <c:y val="-0.289810065235621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Tutorial!$A$9:$A$18</c:f>
              <c:numCache>
                <c:formatCode>General</c:formatCode>
                <c:ptCount val="10"/>
                <c:pt idx="0">
                  <c:v>6.94</c:v>
                </c:pt>
                <c:pt idx="1">
                  <c:v>8.32</c:v>
                </c:pt>
                <c:pt idx="2">
                  <c:v>9.99</c:v>
                </c:pt>
                <c:pt idx="3">
                  <c:v>14.4</c:v>
                </c:pt>
                <c:pt idx="4">
                  <c:v>17.3</c:v>
                </c:pt>
                <c:pt idx="5">
                  <c:v>20.7</c:v>
                </c:pt>
                <c:pt idx="6">
                  <c:v>24.9</c:v>
                </c:pt>
                <c:pt idx="7">
                  <c:v>29.8</c:v>
                </c:pt>
                <c:pt idx="8">
                  <c:v>35.799999999999997</c:v>
                </c:pt>
                <c:pt idx="9">
                  <c:v>43</c:v>
                </c:pt>
              </c:numCache>
            </c:numRef>
          </c:xVal>
          <c:yVal>
            <c:numRef>
              <c:f>Tutorial!$B$9:$B$18</c:f>
              <c:numCache>
                <c:formatCode>General</c:formatCode>
                <c:ptCount val="10"/>
                <c:pt idx="0">
                  <c:v>3600</c:v>
                </c:pt>
                <c:pt idx="1">
                  <c:v>3593</c:v>
                </c:pt>
                <c:pt idx="2">
                  <c:v>3586</c:v>
                </c:pt>
                <c:pt idx="3">
                  <c:v>3573</c:v>
                </c:pt>
                <c:pt idx="4">
                  <c:v>3567</c:v>
                </c:pt>
                <c:pt idx="5">
                  <c:v>3561</c:v>
                </c:pt>
                <c:pt idx="6">
                  <c:v>3555</c:v>
                </c:pt>
                <c:pt idx="7">
                  <c:v>3549</c:v>
                </c:pt>
                <c:pt idx="8">
                  <c:v>3544</c:v>
                </c:pt>
                <c:pt idx="9">
                  <c:v>3537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A6-4CBC-B7ED-DF3AA808E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59343"/>
        <c:axId val="385359823"/>
      </c:scatterChart>
      <c:valAx>
        <c:axId val="3853593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9823"/>
        <c:crosses val="autoZero"/>
        <c:crossBetween val="midCat"/>
      </c:valAx>
      <c:valAx>
        <c:axId val="3853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Semi</a:t>
            </a:r>
            <a:r>
              <a:rPr lang="en-IN" baseline="0"/>
              <a:t> Steady State</a:t>
            </a:r>
            <a:endParaRPr lang="en-IN"/>
          </a:p>
        </c:rich>
      </c:tx>
      <c:layout>
        <c:manualLayout>
          <c:xMode val="edge"/>
          <c:yMode val="edge"/>
          <c:x val="0.32853610827019886"/>
          <c:y val="2.4407252440725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6999083840934975E-2"/>
          <c:y val="0.1167332002661344"/>
          <c:w val="0.89990343188233546"/>
          <c:h val="0.799440227157234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06374114792254"/>
                  <c:y val="-0.473182244435014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</a:t>
                    </a:r>
                    <a:r>
                      <a:rPr lang="en-US" b="1" baseline="0"/>
                      <a:t>0.2194x + 3530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Tutorial!$A$27:$A$31</c:f>
              <c:numCache>
                <c:formatCode>General</c:formatCode>
                <c:ptCount val="5"/>
                <c:pt idx="0">
                  <c:v>222</c:v>
                </c:pt>
                <c:pt idx="1">
                  <c:v>266</c:v>
                </c:pt>
                <c:pt idx="2">
                  <c:v>319</c:v>
                </c:pt>
                <c:pt idx="3">
                  <c:v>383</c:v>
                </c:pt>
                <c:pt idx="4">
                  <c:v>460</c:v>
                </c:pt>
              </c:numCache>
            </c:numRef>
          </c:xVal>
          <c:yVal>
            <c:numRef>
              <c:f>Tutorial!$B$27:$B$31</c:f>
              <c:numCache>
                <c:formatCode>General</c:formatCode>
                <c:ptCount val="5"/>
                <c:pt idx="0">
                  <c:v>3481</c:v>
                </c:pt>
                <c:pt idx="1">
                  <c:v>3472</c:v>
                </c:pt>
                <c:pt idx="2">
                  <c:v>3460</c:v>
                </c:pt>
                <c:pt idx="3">
                  <c:v>3446</c:v>
                </c:pt>
                <c:pt idx="4">
                  <c:v>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9-4C7B-A8C1-FA678D70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99951"/>
        <c:axId val="563413391"/>
      </c:scatterChart>
      <c:valAx>
        <c:axId val="56339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layout>
            <c:manualLayout>
              <c:xMode val="edge"/>
              <c:yMode val="edge"/>
              <c:x val="0.46745190164908623"/>
              <c:y val="0.94941770003300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3391"/>
        <c:crosses val="autoZero"/>
        <c:crossBetween val="midCat"/>
      </c:valAx>
      <c:valAx>
        <c:axId val="5634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9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Diagnostic</a:t>
            </a:r>
            <a:r>
              <a:rPr lang="en-IN" baseline="0"/>
              <a:t>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219051440226"/>
          <c:y val="0.11666242572461206"/>
          <c:w val="0.83458297808315363"/>
          <c:h val="0.79506401466423515"/>
        </c:manualLayout>
      </c:layout>
      <c:scatterChart>
        <c:scatterStyle val="lineMarker"/>
        <c:varyColors val="0"/>
        <c:ser>
          <c:idx val="0"/>
          <c:order val="0"/>
          <c:tx>
            <c:v>Del 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7"/>
              <c:layout>
                <c:manualLayout>
                  <c:x val="-8.9015151515151589E-2"/>
                  <c:y val="9.27588270496708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86-472E-B46C-4B931CDBB71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Tutorial!$A$3:$A$31</c:f>
              <c:numCache>
                <c:formatCode>General</c:formatCode>
                <c:ptCount val="29"/>
                <c:pt idx="0">
                  <c:v>1.6</c:v>
                </c:pt>
                <c:pt idx="1">
                  <c:v>1.94</c:v>
                </c:pt>
                <c:pt idx="2">
                  <c:v>2.79</c:v>
                </c:pt>
                <c:pt idx="3">
                  <c:v>4.01</c:v>
                </c:pt>
                <c:pt idx="4">
                  <c:v>4.82</c:v>
                </c:pt>
                <c:pt idx="5">
                  <c:v>5.78</c:v>
                </c:pt>
                <c:pt idx="6">
                  <c:v>6.94</c:v>
                </c:pt>
                <c:pt idx="7">
                  <c:v>8.32</c:v>
                </c:pt>
                <c:pt idx="8">
                  <c:v>9.99</c:v>
                </c:pt>
                <c:pt idx="9">
                  <c:v>14.4</c:v>
                </c:pt>
                <c:pt idx="10">
                  <c:v>17.3</c:v>
                </c:pt>
                <c:pt idx="11">
                  <c:v>20.7</c:v>
                </c:pt>
                <c:pt idx="12">
                  <c:v>24.9</c:v>
                </c:pt>
                <c:pt idx="13">
                  <c:v>29.8</c:v>
                </c:pt>
                <c:pt idx="14">
                  <c:v>35.799999999999997</c:v>
                </c:pt>
                <c:pt idx="15">
                  <c:v>43</c:v>
                </c:pt>
                <c:pt idx="16">
                  <c:v>51.5</c:v>
                </c:pt>
                <c:pt idx="17">
                  <c:v>61.8</c:v>
                </c:pt>
                <c:pt idx="18">
                  <c:v>74.2</c:v>
                </c:pt>
                <c:pt idx="19">
                  <c:v>89.1</c:v>
                </c:pt>
                <c:pt idx="20">
                  <c:v>107</c:v>
                </c:pt>
                <c:pt idx="21">
                  <c:v>128</c:v>
                </c:pt>
                <c:pt idx="22">
                  <c:v>154</c:v>
                </c:pt>
                <c:pt idx="23">
                  <c:v>185</c:v>
                </c:pt>
                <c:pt idx="24">
                  <c:v>222</c:v>
                </c:pt>
                <c:pt idx="25">
                  <c:v>266</c:v>
                </c:pt>
                <c:pt idx="26">
                  <c:v>319</c:v>
                </c:pt>
                <c:pt idx="27">
                  <c:v>383</c:v>
                </c:pt>
                <c:pt idx="28">
                  <c:v>460</c:v>
                </c:pt>
              </c:numCache>
            </c:numRef>
          </c:xVal>
          <c:yVal>
            <c:numRef>
              <c:f>Tutorial!$C$3:$C$31</c:f>
              <c:numCache>
                <c:formatCode>General</c:formatCode>
                <c:ptCount val="29"/>
                <c:pt idx="0">
                  <c:v>600</c:v>
                </c:pt>
                <c:pt idx="1">
                  <c:v>713</c:v>
                </c:pt>
                <c:pt idx="2">
                  <c:v>759</c:v>
                </c:pt>
                <c:pt idx="3">
                  <c:v>784</c:v>
                </c:pt>
                <c:pt idx="4">
                  <c:v>797</c:v>
                </c:pt>
                <c:pt idx="5">
                  <c:v>805</c:v>
                </c:pt>
                <c:pt idx="6">
                  <c:v>812</c:v>
                </c:pt>
                <c:pt idx="7">
                  <c:v>819</c:v>
                </c:pt>
                <c:pt idx="8">
                  <c:v>826</c:v>
                </c:pt>
                <c:pt idx="9">
                  <c:v>839</c:v>
                </c:pt>
                <c:pt idx="10">
                  <c:v>845</c:v>
                </c:pt>
                <c:pt idx="11">
                  <c:v>851</c:v>
                </c:pt>
                <c:pt idx="12">
                  <c:v>857</c:v>
                </c:pt>
                <c:pt idx="13">
                  <c:v>863</c:v>
                </c:pt>
                <c:pt idx="14">
                  <c:v>868</c:v>
                </c:pt>
                <c:pt idx="15">
                  <c:v>875</c:v>
                </c:pt>
                <c:pt idx="16">
                  <c:v>880</c:v>
                </c:pt>
                <c:pt idx="17">
                  <c:v>886</c:v>
                </c:pt>
                <c:pt idx="18">
                  <c:v>891</c:v>
                </c:pt>
                <c:pt idx="19">
                  <c:v>897</c:v>
                </c:pt>
                <c:pt idx="20">
                  <c:v>903</c:v>
                </c:pt>
                <c:pt idx="21">
                  <c:v>909</c:v>
                </c:pt>
                <c:pt idx="22">
                  <c:v>915</c:v>
                </c:pt>
                <c:pt idx="23">
                  <c:v>922</c:v>
                </c:pt>
                <c:pt idx="24">
                  <c:v>931</c:v>
                </c:pt>
                <c:pt idx="25">
                  <c:v>940</c:v>
                </c:pt>
                <c:pt idx="26">
                  <c:v>952</c:v>
                </c:pt>
                <c:pt idx="27">
                  <c:v>966</c:v>
                </c:pt>
                <c:pt idx="28">
                  <c:v>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9-4CB0-887F-7E4DBDAD9D66}"/>
            </c:ext>
          </c:extLst>
        </c:ser>
        <c:ser>
          <c:idx val="1"/>
          <c:order val="1"/>
          <c:tx>
            <c:v>Pdash+Tutorial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3257575757575793E-2"/>
                  <c:y val="8.3782166367444649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F86-472E-B46C-4B931CDBB712}"/>
                </c:ext>
              </c:extLst>
            </c:dLbl>
            <c:dLbl>
              <c:idx val="17"/>
              <c:layout>
                <c:manualLayout>
                  <c:x val="-0.11553030303030309"/>
                  <c:y val="0.104727707959305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F86-472E-B46C-4B931CDBB7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Tutorial!$A$3:$A$31</c:f>
              <c:numCache>
                <c:formatCode>General</c:formatCode>
                <c:ptCount val="29"/>
                <c:pt idx="0">
                  <c:v>1.6</c:v>
                </c:pt>
                <c:pt idx="1">
                  <c:v>1.94</c:v>
                </c:pt>
                <c:pt idx="2">
                  <c:v>2.79</c:v>
                </c:pt>
                <c:pt idx="3">
                  <c:v>4.01</c:v>
                </c:pt>
                <c:pt idx="4">
                  <c:v>4.82</c:v>
                </c:pt>
                <c:pt idx="5">
                  <c:v>5.78</c:v>
                </c:pt>
                <c:pt idx="6">
                  <c:v>6.94</c:v>
                </c:pt>
                <c:pt idx="7">
                  <c:v>8.32</c:v>
                </c:pt>
                <c:pt idx="8">
                  <c:v>9.99</c:v>
                </c:pt>
                <c:pt idx="9">
                  <c:v>14.4</c:v>
                </c:pt>
                <c:pt idx="10">
                  <c:v>17.3</c:v>
                </c:pt>
                <c:pt idx="11">
                  <c:v>20.7</c:v>
                </c:pt>
                <c:pt idx="12">
                  <c:v>24.9</c:v>
                </c:pt>
                <c:pt idx="13">
                  <c:v>29.8</c:v>
                </c:pt>
                <c:pt idx="14">
                  <c:v>35.799999999999997</c:v>
                </c:pt>
                <c:pt idx="15">
                  <c:v>43</c:v>
                </c:pt>
                <c:pt idx="16">
                  <c:v>51.5</c:v>
                </c:pt>
                <c:pt idx="17">
                  <c:v>61.8</c:v>
                </c:pt>
                <c:pt idx="18">
                  <c:v>74.2</c:v>
                </c:pt>
                <c:pt idx="19">
                  <c:v>89.1</c:v>
                </c:pt>
                <c:pt idx="20">
                  <c:v>107</c:v>
                </c:pt>
                <c:pt idx="21">
                  <c:v>128</c:v>
                </c:pt>
                <c:pt idx="22">
                  <c:v>154</c:v>
                </c:pt>
                <c:pt idx="23">
                  <c:v>185</c:v>
                </c:pt>
                <c:pt idx="24">
                  <c:v>222</c:v>
                </c:pt>
                <c:pt idx="25">
                  <c:v>266</c:v>
                </c:pt>
                <c:pt idx="26">
                  <c:v>319</c:v>
                </c:pt>
                <c:pt idx="27">
                  <c:v>383</c:v>
                </c:pt>
                <c:pt idx="28">
                  <c:v>460</c:v>
                </c:pt>
              </c:numCache>
            </c:numRef>
          </c:xVal>
          <c:yVal>
            <c:numRef>
              <c:f>Tutorial!$E$3:$E$31</c:f>
              <c:numCache>
                <c:formatCode>General</c:formatCode>
                <c:ptCount val="29"/>
                <c:pt idx="0">
                  <c:v>600</c:v>
                </c:pt>
                <c:pt idx="1">
                  <c:v>644.76470588235316</c:v>
                </c:pt>
                <c:pt idx="2">
                  <c:v>150.98823529411763</c:v>
                </c:pt>
                <c:pt idx="3">
                  <c:v>82.172131147540995</c:v>
                </c:pt>
                <c:pt idx="4">
                  <c:v>77.358024691357983</c:v>
                </c:pt>
                <c:pt idx="5">
                  <c:v>48.166666666666671</c:v>
                </c:pt>
                <c:pt idx="6">
                  <c:v>41.87931034482758</c:v>
                </c:pt>
                <c:pt idx="7">
                  <c:v>42.20289855072464</c:v>
                </c:pt>
                <c:pt idx="8">
                  <c:v>41.874251497005986</c:v>
                </c:pt>
                <c:pt idx="9">
                  <c:v>42.448979591836732</c:v>
                </c:pt>
                <c:pt idx="10">
                  <c:v>35.793103448275858</c:v>
                </c:pt>
                <c:pt idx="11">
                  <c:v>36.529411764705898</c:v>
                </c:pt>
                <c:pt idx="12">
                  <c:v>35.571428571428577</c:v>
                </c:pt>
                <c:pt idx="13">
                  <c:v>36.489795918367328</c:v>
                </c:pt>
                <c:pt idx="14">
                  <c:v>29.83333333333335</c:v>
                </c:pt>
                <c:pt idx="15">
                  <c:v>41.805555555555543</c:v>
                </c:pt>
                <c:pt idx="16">
                  <c:v>30.294117647058826</c:v>
                </c:pt>
                <c:pt idx="17">
                  <c:v>36.000000000000007</c:v>
                </c:pt>
                <c:pt idx="18">
                  <c:v>29.919354838709666</c:v>
                </c:pt>
                <c:pt idx="19">
                  <c:v>35.879194630872504</c:v>
                </c:pt>
                <c:pt idx="20">
                  <c:v>35.865921787709482</c:v>
                </c:pt>
                <c:pt idx="21">
                  <c:v>36.571428571428569</c:v>
                </c:pt>
                <c:pt idx="22">
                  <c:v>35.53846153846154</c:v>
                </c:pt>
                <c:pt idx="23">
                  <c:v>41.774193548387096</c:v>
                </c:pt>
                <c:pt idx="24">
                  <c:v>54</c:v>
                </c:pt>
                <c:pt idx="25">
                  <c:v>54.409090909090914</c:v>
                </c:pt>
                <c:pt idx="26">
                  <c:v>72.226415094339629</c:v>
                </c:pt>
                <c:pt idx="27">
                  <c:v>83.78125</c:v>
                </c:pt>
                <c:pt idx="28">
                  <c:v>101.55844155844156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9-4CB0-887F-7E4DBDAD9D66}"/>
            </c:ext>
          </c:extLst>
        </c:ser>
        <c:ser>
          <c:idx val="2"/>
          <c:order val="2"/>
          <c:tx>
            <c:v>half slope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6"/>
              <c:layout>
                <c:manualLayout>
                  <c:x val="1.7045454545454405E-2"/>
                  <c:y val="5.685218432076601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86-472E-B46C-4B931CDBB71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Tutorial!$A$3:$A$31</c:f>
              <c:numCache>
                <c:formatCode>General</c:formatCode>
                <c:ptCount val="29"/>
                <c:pt idx="0">
                  <c:v>1.6</c:v>
                </c:pt>
                <c:pt idx="1">
                  <c:v>1.94</c:v>
                </c:pt>
                <c:pt idx="2">
                  <c:v>2.79</c:v>
                </c:pt>
                <c:pt idx="3">
                  <c:v>4.01</c:v>
                </c:pt>
                <c:pt idx="4">
                  <c:v>4.82</c:v>
                </c:pt>
                <c:pt idx="5">
                  <c:v>5.78</c:v>
                </c:pt>
                <c:pt idx="6">
                  <c:v>6.94</c:v>
                </c:pt>
                <c:pt idx="7">
                  <c:v>8.32</c:v>
                </c:pt>
                <c:pt idx="8">
                  <c:v>9.99</c:v>
                </c:pt>
                <c:pt idx="9">
                  <c:v>14.4</c:v>
                </c:pt>
                <c:pt idx="10">
                  <c:v>17.3</c:v>
                </c:pt>
                <c:pt idx="11">
                  <c:v>20.7</c:v>
                </c:pt>
                <c:pt idx="12">
                  <c:v>24.9</c:v>
                </c:pt>
                <c:pt idx="13">
                  <c:v>29.8</c:v>
                </c:pt>
                <c:pt idx="14">
                  <c:v>35.799999999999997</c:v>
                </c:pt>
                <c:pt idx="15">
                  <c:v>43</c:v>
                </c:pt>
                <c:pt idx="16">
                  <c:v>51.5</c:v>
                </c:pt>
                <c:pt idx="17">
                  <c:v>61.8</c:v>
                </c:pt>
                <c:pt idx="18">
                  <c:v>74.2</c:v>
                </c:pt>
                <c:pt idx="19">
                  <c:v>89.1</c:v>
                </c:pt>
                <c:pt idx="20">
                  <c:v>107</c:v>
                </c:pt>
                <c:pt idx="21">
                  <c:v>128</c:v>
                </c:pt>
                <c:pt idx="22">
                  <c:v>154</c:v>
                </c:pt>
                <c:pt idx="23">
                  <c:v>185</c:v>
                </c:pt>
                <c:pt idx="24">
                  <c:v>222</c:v>
                </c:pt>
                <c:pt idx="25">
                  <c:v>266</c:v>
                </c:pt>
                <c:pt idx="26">
                  <c:v>319</c:v>
                </c:pt>
                <c:pt idx="27">
                  <c:v>383</c:v>
                </c:pt>
                <c:pt idx="28">
                  <c:v>460</c:v>
                </c:pt>
              </c:numCache>
            </c:numRef>
          </c:xVal>
          <c:yVal>
            <c:numRef>
              <c:f>Tutorial!$F$3:$F$31</c:f>
              <c:numCache>
                <c:formatCode>General</c:formatCode>
                <c:ptCount val="29"/>
                <c:pt idx="0">
                  <c:v>0.36800000000000005</c:v>
                </c:pt>
                <c:pt idx="1">
                  <c:v>0.44619999999999999</c:v>
                </c:pt>
                <c:pt idx="2">
                  <c:v>0.64170000000000005</c:v>
                </c:pt>
                <c:pt idx="3">
                  <c:v>0.92230000000000001</c:v>
                </c:pt>
                <c:pt idx="4">
                  <c:v>1.1086</c:v>
                </c:pt>
                <c:pt idx="5">
                  <c:v>1.3294000000000001</c:v>
                </c:pt>
                <c:pt idx="6">
                  <c:v>1.5962000000000001</c:v>
                </c:pt>
                <c:pt idx="7">
                  <c:v>1.9136000000000002</c:v>
                </c:pt>
                <c:pt idx="8">
                  <c:v>2.2977000000000003</c:v>
                </c:pt>
                <c:pt idx="9">
                  <c:v>3.3120000000000003</c:v>
                </c:pt>
                <c:pt idx="10">
                  <c:v>3.9790000000000005</c:v>
                </c:pt>
                <c:pt idx="11">
                  <c:v>4.7610000000000001</c:v>
                </c:pt>
                <c:pt idx="12">
                  <c:v>5.7270000000000003</c:v>
                </c:pt>
                <c:pt idx="13">
                  <c:v>6.8540000000000001</c:v>
                </c:pt>
                <c:pt idx="14">
                  <c:v>8.234</c:v>
                </c:pt>
                <c:pt idx="15">
                  <c:v>9.89</c:v>
                </c:pt>
                <c:pt idx="16">
                  <c:v>11.845000000000001</c:v>
                </c:pt>
                <c:pt idx="17">
                  <c:v>14.214</c:v>
                </c:pt>
                <c:pt idx="18">
                  <c:v>17.066000000000003</c:v>
                </c:pt>
                <c:pt idx="19">
                  <c:v>20.492999999999999</c:v>
                </c:pt>
                <c:pt idx="20">
                  <c:v>24.61</c:v>
                </c:pt>
                <c:pt idx="21">
                  <c:v>29.44</c:v>
                </c:pt>
                <c:pt idx="22">
                  <c:v>35.42</c:v>
                </c:pt>
                <c:pt idx="23">
                  <c:v>42.550000000000004</c:v>
                </c:pt>
                <c:pt idx="24">
                  <c:v>51.06</c:v>
                </c:pt>
                <c:pt idx="25">
                  <c:v>61.18</c:v>
                </c:pt>
                <c:pt idx="26">
                  <c:v>73.37</c:v>
                </c:pt>
                <c:pt idx="27">
                  <c:v>88.09</c:v>
                </c:pt>
                <c:pt idx="28">
                  <c:v>105.80000000000001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A9-4CB0-887F-7E4DBDAD9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75951"/>
        <c:axId val="563368751"/>
      </c:scatterChart>
      <c:valAx>
        <c:axId val="56337595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layout>
            <c:manualLayout>
              <c:xMode val="edge"/>
              <c:yMode val="edge"/>
              <c:x val="0.49939632545931756"/>
              <c:y val="0.95450317363830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68751"/>
        <c:crosses val="autoZero"/>
        <c:crossBetween val="midCat"/>
      </c:valAx>
      <c:valAx>
        <c:axId val="563368751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DeltaP</a:t>
                </a:r>
                <a:r>
                  <a:rPr lang="en-IN" baseline="0"/>
                  <a:t> &amp;P-Dash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75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31490097828697"/>
          <c:y val="0.59794220067195369"/>
          <c:w val="0.13401843235504654"/>
          <c:h val="0.1514822092480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Wellbore</a:t>
            </a:r>
            <a:r>
              <a:rPr lang="en-IN" baseline="0"/>
              <a:t> Storage Period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024606299212598"/>
                  <c:y val="3.62798920968212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Tutorial!$A$2:$A$4</c:f>
              <c:numCache>
                <c:formatCode>General</c:formatCode>
                <c:ptCount val="3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</c:numCache>
            </c:numRef>
          </c:xVal>
          <c:yVal>
            <c:numRef>
              <c:f>Tutorial!$B$2:$B$4</c:f>
              <c:numCache>
                <c:formatCode>General</c:formatCode>
                <c:ptCount val="3"/>
                <c:pt idx="0">
                  <c:v>4412</c:v>
                </c:pt>
                <c:pt idx="1">
                  <c:v>3812</c:v>
                </c:pt>
                <c:pt idx="2">
                  <c:v>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1E-44CA-904F-DE40ACDB0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342160"/>
        <c:axId val="554342640"/>
      </c:scatterChart>
      <c:valAx>
        <c:axId val="5543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42640"/>
        <c:crosses val="autoZero"/>
        <c:crossBetween val="midCat"/>
      </c:valAx>
      <c:valAx>
        <c:axId val="5543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4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0</xdr:row>
      <xdr:rowOff>0</xdr:rowOff>
    </xdr:from>
    <xdr:to>
      <xdr:col>18</xdr:col>
      <xdr:colOff>83819</xdr:colOff>
      <xdr:row>18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70220" y="0"/>
          <a:ext cx="5486399" cy="3387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A drawdown test is perfomed in a well located in an estimated drainage area of</a:t>
          </a:r>
          <a:r>
            <a:rPr lang="en-IN" sz="1200" baseline="0"/>
            <a:t> of 151 acres. During the test, the well was produced at a stabilized rate of 250 stb/d for a period of 460 hrs. The initial reservoir pressure was 4412 psia. The recorded flowing bottomhole pressure versus time is given. </a:t>
          </a:r>
        </a:p>
        <a:p>
          <a:endParaRPr lang="en-IN" sz="1200" baseline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𝐹𝑜𝑟𝑚𝑎𝑡𝑖𝑜𝑛 𝑡ℎ𝑖𝑐𝑘𝑛𝑒𝑠𝑠=69 𝑓𝑡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𝑃𝑜𝑟𝑜𝑠𝑖𝑡𝑦=3.9%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𝑇𝑜𝑡𝑎𝑙 𝐶𝑜𝑚𝑝𝑟𝑒𝑠𝑠𝑖𝑏𝑖𝑙𝑖𝑡𝑦=17∗〖10〗^(−6)  〖𝑝𝑠𝑖〗^(−1)</a:t>
          </a:r>
          <a:endParaRPr lang="en-IN" sz="120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𝑂𝑖𝑙 𝑓𝑜𝑟𝑚𝑎𝑡𝑖𝑜𝑛 𝑣𝑜𝑙𝑢𝑚𝑒 𝑓𝑎𝑐𝑡𝑜𝑟=1.136 𝑠𝑡𝑏/𝑑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𝑂𝑖𝑙 𝑣𝑖𝑠𝑐𝑜𝑠𝑖𝑡𝑦=0.8 𝑐𝑝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𝑊𝑒𝑙𝑙𝑏𝑜𝑟𝑒 𝑟𝑎𝑑𝑖𝑢𝑠=0.198 𝑓𝑡</a:t>
          </a:r>
          <a:endParaRPr lang="en-IN" sz="1200" b="0"/>
        </a:p>
        <a:p>
          <a:endParaRPr lang="en-IN" sz="1200"/>
        </a:p>
        <a:p>
          <a:r>
            <a:rPr lang="en-IN" sz="1200"/>
            <a:t>Interpret the drawdown test.</a:t>
          </a:r>
        </a:p>
      </xdr:txBody>
    </xdr:sp>
    <xdr:clientData/>
  </xdr:twoCellAnchor>
  <xdr:twoCellAnchor>
    <xdr:from>
      <xdr:col>0</xdr:col>
      <xdr:colOff>0</xdr:colOff>
      <xdr:row>32</xdr:row>
      <xdr:rowOff>91440</xdr:rowOff>
    </xdr:from>
    <xdr:to>
      <xdr:col>10</xdr:col>
      <xdr:colOff>15240</xdr:colOff>
      <xdr:row>53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E35E30-8ADD-9729-8185-8828611AB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83820</xdr:colOff>
      <xdr:row>32</xdr:row>
      <xdr:rowOff>68580</xdr:rowOff>
    </xdr:from>
    <xdr:to>
      <xdr:col>20</xdr:col>
      <xdr:colOff>22860</xdr:colOff>
      <xdr:row>53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47B733-DFD4-9C4B-9490-FD873A0D9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274320</xdr:colOff>
      <xdr:row>1</xdr:row>
      <xdr:rowOff>167640</xdr:rowOff>
    </xdr:from>
    <xdr:to>
      <xdr:col>30</xdr:col>
      <xdr:colOff>60960</xdr:colOff>
      <xdr:row>25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E0DB48-FBFB-4B6B-AB7C-1C732C44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7620</xdr:colOff>
      <xdr:row>32</xdr:row>
      <xdr:rowOff>53340</xdr:rowOff>
    </xdr:from>
    <xdr:to>
      <xdr:col>29</xdr:col>
      <xdr:colOff>335280</xdr:colOff>
      <xdr:row>52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1DF418-008C-43A2-AB41-ABAEA2D8E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6"/>
  <sheetViews>
    <sheetView tabSelected="1" topLeftCell="R1" workbookViewId="0">
      <selection activeCell="H2" sqref="H2"/>
    </sheetView>
  </sheetViews>
  <sheetFormatPr defaultRowHeight="14.5" x14ac:dyDescent="0.35"/>
  <cols>
    <col min="2" max="2" width="12.6328125" customWidth="1"/>
    <col min="3" max="3" width="12" bestFit="1" customWidth="1"/>
    <col min="14" max="14" width="12" bestFit="1" customWidth="1"/>
    <col min="20" max="20" width="12" bestFit="1" customWidth="1"/>
    <col min="37" max="37" width="12" bestFit="1" customWidth="1"/>
  </cols>
  <sheetData>
    <row r="1" spans="1:38" x14ac:dyDescent="0.3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11</v>
      </c>
      <c r="G1" t="s">
        <v>12</v>
      </c>
      <c r="H1">
        <v>0.23</v>
      </c>
    </row>
    <row r="2" spans="1:38" x14ac:dyDescent="0.35">
      <c r="A2">
        <v>0</v>
      </c>
      <c r="B2">
        <v>4412</v>
      </c>
      <c r="C2">
        <f>$B$2-B2</f>
        <v>0</v>
      </c>
      <c r="AF2" s="8" t="s">
        <v>47</v>
      </c>
      <c r="AG2" s="8"/>
      <c r="AH2" s="8"/>
      <c r="AI2" s="8"/>
      <c r="AJ2" s="8"/>
    </row>
    <row r="3" spans="1:38" x14ac:dyDescent="0.35">
      <c r="A3">
        <v>1.6</v>
      </c>
      <c r="B3">
        <v>3812</v>
      </c>
      <c r="C3">
        <f t="shared" ref="C3:C31" si="0">$B$2-B3</f>
        <v>600</v>
      </c>
      <c r="D3">
        <f>ABS((B2-B3)/(A2-A3))</f>
        <v>375</v>
      </c>
      <c r="E3">
        <f>D3*A3</f>
        <v>600</v>
      </c>
      <c r="F3">
        <f>$H$1*A3</f>
        <v>0.36800000000000005</v>
      </c>
      <c r="AF3" t="s">
        <v>48</v>
      </c>
      <c r="AJ3" t="s">
        <v>54</v>
      </c>
    </row>
    <row r="4" spans="1:38" x14ac:dyDescent="0.35">
      <c r="A4">
        <v>1.94</v>
      </c>
      <c r="B4">
        <v>3699</v>
      </c>
      <c r="C4">
        <f t="shared" si="0"/>
        <v>713</v>
      </c>
      <c r="D4">
        <f>ABS((B3-B4)/(A3-A4))</f>
        <v>332.35294117647072</v>
      </c>
      <c r="E4">
        <f t="shared" ref="E4:E31" si="1">D4*A4</f>
        <v>644.76470588235316</v>
      </c>
      <c r="F4">
        <f t="shared" ref="F4:F31" si="2">$H$1*A4</f>
        <v>0.44619999999999999</v>
      </c>
      <c r="AF4" t="s">
        <v>49</v>
      </c>
      <c r="AG4">
        <v>1.94</v>
      </c>
      <c r="AJ4" t="s">
        <v>55</v>
      </c>
      <c r="AK4">
        <v>73.37</v>
      </c>
    </row>
    <row r="5" spans="1:38" x14ac:dyDescent="0.35">
      <c r="A5">
        <v>2.79</v>
      </c>
      <c r="B5">
        <v>3653</v>
      </c>
      <c r="C5">
        <f t="shared" si="0"/>
        <v>759</v>
      </c>
      <c r="D5">
        <f t="shared" ref="D5:D31" si="3">ABS((B4-B5)/(A4-A5))</f>
        <v>54.117647058823522</v>
      </c>
      <c r="E5">
        <f t="shared" si="1"/>
        <v>150.98823529411763</v>
      </c>
      <c r="F5">
        <f t="shared" si="2"/>
        <v>0.64170000000000005</v>
      </c>
      <c r="AF5" t="s">
        <v>7</v>
      </c>
      <c r="AG5">
        <v>644.76499999999999</v>
      </c>
      <c r="AJ5" t="s">
        <v>49</v>
      </c>
      <c r="AK5">
        <v>319</v>
      </c>
    </row>
    <row r="6" spans="1:38" x14ac:dyDescent="0.35">
      <c r="A6">
        <v>4.01</v>
      </c>
      <c r="B6">
        <v>3628</v>
      </c>
      <c r="C6">
        <f t="shared" si="0"/>
        <v>784</v>
      </c>
      <c r="D6">
        <f t="shared" si="3"/>
        <v>20.491803278688529</v>
      </c>
      <c r="E6">
        <f t="shared" si="1"/>
        <v>82.172131147540995</v>
      </c>
      <c r="F6">
        <f t="shared" si="2"/>
        <v>0.92230000000000001</v>
      </c>
      <c r="AJ6" t="s">
        <v>56</v>
      </c>
      <c r="AK6">
        <f>AK4/AK5</f>
        <v>0.23</v>
      </c>
    </row>
    <row r="7" spans="1:38" x14ac:dyDescent="0.35">
      <c r="A7">
        <v>4.82</v>
      </c>
      <c r="B7">
        <v>3615</v>
      </c>
      <c r="C7">
        <f t="shared" si="0"/>
        <v>797</v>
      </c>
      <c r="D7">
        <f t="shared" si="3"/>
        <v>16.049382716049372</v>
      </c>
      <c r="E7">
        <f t="shared" si="1"/>
        <v>77.358024691357983</v>
      </c>
      <c r="F7">
        <f t="shared" si="2"/>
        <v>1.1086</v>
      </c>
      <c r="AF7" s="7" t="s">
        <v>45</v>
      </c>
      <c r="AG7" s="7">
        <f>K22*K26*AG4/(24*AG5)</f>
        <v>3.5604703522472012E-2</v>
      </c>
      <c r="AJ7" t="s">
        <v>4</v>
      </c>
      <c r="AK7">
        <f>0.2339*K22*K26/(K24*K25*AK6*K23)</f>
        <v>6313324.4185173465</v>
      </c>
      <c r="AL7" t="s">
        <v>57</v>
      </c>
    </row>
    <row r="8" spans="1:38" x14ac:dyDescent="0.35">
      <c r="A8">
        <v>5.78</v>
      </c>
      <c r="B8">
        <v>3607</v>
      </c>
      <c r="C8">
        <f t="shared" si="0"/>
        <v>805</v>
      </c>
      <c r="D8">
        <f t="shared" si="3"/>
        <v>8.3333333333333339</v>
      </c>
      <c r="E8">
        <f t="shared" si="1"/>
        <v>48.166666666666671</v>
      </c>
      <c r="F8">
        <f t="shared" si="2"/>
        <v>1.3294000000000001</v>
      </c>
      <c r="AK8">
        <f>AK7/43560</f>
        <v>144.93398573272145</v>
      </c>
      <c r="AL8" t="s">
        <v>35</v>
      </c>
    </row>
    <row r="9" spans="1:38" x14ac:dyDescent="0.35">
      <c r="A9">
        <v>6.94</v>
      </c>
      <c r="B9">
        <v>3600</v>
      </c>
      <c r="C9">
        <f t="shared" si="0"/>
        <v>812</v>
      </c>
      <c r="D9">
        <f t="shared" si="3"/>
        <v>6.0344827586206886</v>
      </c>
      <c r="E9">
        <f t="shared" si="1"/>
        <v>41.87931034482758</v>
      </c>
      <c r="F9">
        <f t="shared" si="2"/>
        <v>1.5962000000000001</v>
      </c>
      <c r="AF9" t="s">
        <v>50</v>
      </c>
    </row>
    <row r="10" spans="1:38" x14ac:dyDescent="0.35">
      <c r="A10">
        <v>8.32</v>
      </c>
      <c r="B10">
        <v>3593</v>
      </c>
      <c r="C10">
        <f t="shared" si="0"/>
        <v>819</v>
      </c>
      <c r="D10">
        <f t="shared" si="3"/>
        <v>5.0724637681159424</v>
      </c>
      <c r="E10">
        <f t="shared" si="1"/>
        <v>42.20289855072464</v>
      </c>
      <c r="F10">
        <f t="shared" si="2"/>
        <v>1.9136000000000002</v>
      </c>
      <c r="AF10" t="s">
        <v>10</v>
      </c>
      <c r="AG10">
        <f>35</f>
        <v>35</v>
      </c>
    </row>
    <row r="11" spans="1:38" x14ac:dyDescent="0.35">
      <c r="A11">
        <v>9.99</v>
      </c>
      <c r="B11">
        <v>3586</v>
      </c>
      <c r="C11">
        <f t="shared" si="0"/>
        <v>826</v>
      </c>
      <c r="D11">
        <f t="shared" si="3"/>
        <v>4.1916167664670656</v>
      </c>
      <c r="E11">
        <f t="shared" si="1"/>
        <v>41.874251497005986</v>
      </c>
      <c r="F11">
        <f t="shared" si="2"/>
        <v>2.2977000000000003</v>
      </c>
      <c r="AF11" s="7" t="s">
        <v>13</v>
      </c>
      <c r="AG11" s="7">
        <f>70.6*K22*K26*K27/(K23*AG10)</f>
        <v>6.6419544513457556</v>
      </c>
    </row>
    <row r="12" spans="1:38" x14ac:dyDescent="0.35">
      <c r="A12">
        <v>14.4</v>
      </c>
      <c r="B12">
        <v>3573</v>
      </c>
      <c r="C12">
        <f t="shared" si="0"/>
        <v>839</v>
      </c>
      <c r="D12">
        <f t="shared" si="3"/>
        <v>2.947845804988662</v>
      </c>
      <c r="E12">
        <f t="shared" si="1"/>
        <v>42.448979591836732</v>
      </c>
      <c r="F12">
        <f t="shared" si="2"/>
        <v>3.3120000000000003</v>
      </c>
    </row>
    <row r="13" spans="1:38" x14ac:dyDescent="0.35">
      <c r="A13">
        <v>17.3</v>
      </c>
      <c r="B13">
        <v>3567</v>
      </c>
      <c r="C13">
        <f t="shared" si="0"/>
        <v>845</v>
      </c>
      <c r="D13">
        <f t="shared" si="3"/>
        <v>2.068965517241379</v>
      </c>
      <c r="E13">
        <f t="shared" si="1"/>
        <v>35.793103448275858</v>
      </c>
      <c r="F13">
        <f t="shared" si="2"/>
        <v>3.9790000000000005</v>
      </c>
      <c r="AF13" t="s">
        <v>51</v>
      </c>
      <c r="AG13">
        <v>61.8</v>
      </c>
    </row>
    <row r="14" spans="1:38" x14ac:dyDescent="0.35">
      <c r="A14">
        <v>20.7</v>
      </c>
      <c r="B14">
        <v>3561</v>
      </c>
      <c r="C14">
        <f t="shared" si="0"/>
        <v>851</v>
      </c>
      <c r="D14">
        <f t="shared" si="3"/>
        <v>1.764705882352942</v>
      </c>
      <c r="E14">
        <f t="shared" si="1"/>
        <v>36.529411764705898</v>
      </c>
      <c r="F14">
        <f t="shared" si="2"/>
        <v>4.7610000000000001</v>
      </c>
      <c r="AF14" t="s">
        <v>52</v>
      </c>
      <c r="AG14">
        <v>886</v>
      </c>
    </row>
    <row r="15" spans="1:38" x14ac:dyDescent="0.35">
      <c r="A15">
        <v>24.9</v>
      </c>
      <c r="B15">
        <v>3555</v>
      </c>
      <c r="C15">
        <f t="shared" si="0"/>
        <v>857</v>
      </c>
      <c r="D15">
        <f t="shared" si="3"/>
        <v>1.4285714285714288</v>
      </c>
      <c r="E15">
        <f t="shared" si="1"/>
        <v>35.571428571428577</v>
      </c>
      <c r="F15">
        <f t="shared" si="2"/>
        <v>5.7270000000000003</v>
      </c>
      <c r="AF15" t="s">
        <v>53</v>
      </c>
      <c r="AH15">
        <f>LOG(AG11*AG13/(K24*K27*K25*K28*K28))</f>
        <v>10.295350472172291</v>
      </c>
    </row>
    <row r="16" spans="1:38" x14ac:dyDescent="0.35">
      <c r="A16">
        <v>29.8</v>
      </c>
      <c r="B16">
        <v>3549</v>
      </c>
      <c r="C16">
        <f t="shared" si="0"/>
        <v>863</v>
      </c>
      <c r="D16">
        <f t="shared" si="3"/>
        <v>1.2244897959183667</v>
      </c>
      <c r="E16">
        <f t="shared" si="1"/>
        <v>36.489795918367328</v>
      </c>
      <c r="F16">
        <f t="shared" si="2"/>
        <v>6.8540000000000001</v>
      </c>
    </row>
    <row r="17" spans="1:33" x14ac:dyDescent="0.35">
      <c r="A17">
        <v>35.799999999999997</v>
      </c>
      <c r="B17">
        <v>3544</v>
      </c>
      <c r="C17">
        <f t="shared" si="0"/>
        <v>868</v>
      </c>
      <c r="D17">
        <f t="shared" si="3"/>
        <v>0.83333333333333381</v>
      </c>
      <c r="E17">
        <f t="shared" si="1"/>
        <v>29.83333333333335</v>
      </c>
      <c r="F17">
        <f t="shared" si="2"/>
        <v>8.234</v>
      </c>
      <c r="AF17" s="7" t="s">
        <v>32</v>
      </c>
      <c r="AG17" s="7">
        <f>1.151*(AG14/(2.303*AG10)-AH15+3.23)</f>
        <v>4.5194285266959335</v>
      </c>
    </row>
    <row r="18" spans="1:33" x14ac:dyDescent="0.35">
      <c r="A18">
        <v>43</v>
      </c>
      <c r="B18">
        <v>3537</v>
      </c>
      <c r="C18">
        <f t="shared" si="0"/>
        <v>875</v>
      </c>
      <c r="D18">
        <f t="shared" si="3"/>
        <v>0.97222222222222188</v>
      </c>
      <c r="E18">
        <f t="shared" si="1"/>
        <v>41.805555555555543</v>
      </c>
      <c r="F18">
        <f t="shared" si="2"/>
        <v>9.89</v>
      </c>
    </row>
    <row r="19" spans="1:33" x14ac:dyDescent="0.35">
      <c r="A19">
        <v>51.5</v>
      </c>
      <c r="B19">
        <v>3532</v>
      </c>
      <c r="C19">
        <f t="shared" si="0"/>
        <v>880</v>
      </c>
      <c r="D19">
        <f t="shared" si="3"/>
        <v>0.58823529411764708</v>
      </c>
      <c r="E19">
        <f t="shared" si="1"/>
        <v>30.294117647058826</v>
      </c>
      <c r="F19">
        <f t="shared" si="2"/>
        <v>11.845000000000001</v>
      </c>
    </row>
    <row r="20" spans="1:33" x14ac:dyDescent="0.35">
      <c r="A20">
        <v>61.8</v>
      </c>
      <c r="B20">
        <v>3526</v>
      </c>
      <c r="C20">
        <f t="shared" si="0"/>
        <v>886</v>
      </c>
      <c r="D20">
        <f t="shared" si="3"/>
        <v>0.58252427184466038</v>
      </c>
      <c r="E20">
        <f t="shared" si="1"/>
        <v>36.000000000000007</v>
      </c>
      <c r="F20">
        <f t="shared" si="2"/>
        <v>14.214</v>
      </c>
      <c r="J20" s="9" t="s">
        <v>14</v>
      </c>
      <c r="K20" s="9"/>
      <c r="L20" s="9"/>
      <c r="M20" s="9"/>
      <c r="N20" s="9"/>
    </row>
    <row r="21" spans="1:33" x14ac:dyDescent="0.35">
      <c r="A21">
        <v>74.2</v>
      </c>
      <c r="B21">
        <v>3521</v>
      </c>
      <c r="C21">
        <f t="shared" si="0"/>
        <v>891</v>
      </c>
      <c r="D21">
        <f t="shared" si="3"/>
        <v>0.40322580645161271</v>
      </c>
      <c r="E21">
        <f t="shared" si="1"/>
        <v>29.919354838709666</v>
      </c>
      <c r="F21">
        <f t="shared" si="2"/>
        <v>17.066000000000003</v>
      </c>
      <c r="J21" s="9"/>
      <c r="K21" s="9"/>
      <c r="L21" s="9"/>
      <c r="M21" s="9"/>
      <c r="N21" s="9"/>
    </row>
    <row r="22" spans="1:33" x14ac:dyDescent="0.35">
      <c r="A22">
        <v>89.1</v>
      </c>
      <c r="B22">
        <v>3515</v>
      </c>
      <c r="C22">
        <f t="shared" si="0"/>
        <v>897</v>
      </c>
      <c r="D22">
        <f t="shared" si="3"/>
        <v>0.40268456375838951</v>
      </c>
      <c r="E22">
        <f t="shared" si="1"/>
        <v>35.879194630872504</v>
      </c>
      <c r="F22">
        <f t="shared" si="2"/>
        <v>20.492999999999999</v>
      </c>
      <c r="J22" s="3" t="s">
        <v>15</v>
      </c>
      <c r="K22" s="3">
        <v>250</v>
      </c>
      <c r="L22" s="3" t="s">
        <v>16</v>
      </c>
    </row>
    <row r="23" spans="1:33" x14ac:dyDescent="0.35">
      <c r="A23">
        <v>107</v>
      </c>
      <c r="B23">
        <v>3509</v>
      </c>
      <c r="C23">
        <f t="shared" si="0"/>
        <v>903</v>
      </c>
      <c r="D23">
        <f t="shared" si="3"/>
        <v>0.33519553072625685</v>
      </c>
      <c r="E23">
        <f t="shared" si="1"/>
        <v>35.865921787709482</v>
      </c>
      <c r="F23">
        <f t="shared" si="2"/>
        <v>24.61</v>
      </c>
      <c r="J23" s="3" t="s">
        <v>17</v>
      </c>
      <c r="K23" s="3">
        <v>69</v>
      </c>
      <c r="L23" s="3" t="s">
        <v>18</v>
      </c>
    </row>
    <row r="24" spans="1:33" x14ac:dyDescent="0.35">
      <c r="A24">
        <v>128</v>
      </c>
      <c r="B24">
        <v>3503</v>
      </c>
      <c r="C24">
        <f t="shared" si="0"/>
        <v>909</v>
      </c>
      <c r="D24">
        <f t="shared" si="3"/>
        <v>0.2857142857142857</v>
      </c>
      <c r="E24">
        <f t="shared" si="1"/>
        <v>36.571428571428569</v>
      </c>
      <c r="F24">
        <f t="shared" si="2"/>
        <v>29.44</v>
      </c>
      <c r="J24" s="3" t="s">
        <v>19</v>
      </c>
      <c r="K24" s="3">
        <v>3.9E-2</v>
      </c>
      <c r="L24" s="3"/>
    </row>
    <row r="25" spans="1:33" x14ac:dyDescent="0.35">
      <c r="A25">
        <v>154</v>
      </c>
      <c r="B25">
        <v>3497</v>
      </c>
      <c r="C25">
        <f t="shared" si="0"/>
        <v>915</v>
      </c>
      <c r="D25">
        <f t="shared" si="3"/>
        <v>0.23076923076923078</v>
      </c>
      <c r="E25">
        <f t="shared" si="1"/>
        <v>35.53846153846154</v>
      </c>
      <c r="F25">
        <f t="shared" si="2"/>
        <v>35.42</v>
      </c>
      <c r="J25" s="3" t="s">
        <v>20</v>
      </c>
      <c r="K25" s="3">
        <f>17*POWER(10,-6)</f>
        <v>1.7E-5</v>
      </c>
      <c r="L25" s="3" t="s">
        <v>25</v>
      </c>
    </row>
    <row r="26" spans="1:33" x14ac:dyDescent="0.35">
      <c r="A26">
        <v>185</v>
      </c>
      <c r="B26">
        <v>3490</v>
      </c>
      <c r="C26">
        <f t="shared" si="0"/>
        <v>922</v>
      </c>
      <c r="D26">
        <f t="shared" si="3"/>
        <v>0.22580645161290322</v>
      </c>
      <c r="E26">
        <f t="shared" si="1"/>
        <v>41.774193548387096</v>
      </c>
      <c r="F26">
        <f t="shared" si="2"/>
        <v>42.550000000000004</v>
      </c>
      <c r="J26" s="3" t="s">
        <v>21</v>
      </c>
      <c r="K26" s="3">
        <v>1.1359999999999999</v>
      </c>
      <c r="L26" s="3" t="s">
        <v>24</v>
      </c>
    </row>
    <row r="27" spans="1:33" x14ac:dyDescent="0.35">
      <c r="A27">
        <v>222</v>
      </c>
      <c r="B27">
        <v>3481</v>
      </c>
      <c r="C27">
        <f t="shared" si="0"/>
        <v>931</v>
      </c>
      <c r="D27">
        <f t="shared" si="3"/>
        <v>0.24324324324324326</v>
      </c>
      <c r="E27">
        <f t="shared" si="1"/>
        <v>54</v>
      </c>
      <c r="F27">
        <f t="shared" si="2"/>
        <v>51.06</v>
      </c>
      <c r="J27" s="3" t="s">
        <v>22</v>
      </c>
      <c r="K27" s="3">
        <v>0.8</v>
      </c>
      <c r="L27" s="3" t="s">
        <v>23</v>
      </c>
    </row>
    <row r="28" spans="1:33" x14ac:dyDescent="0.35">
      <c r="A28">
        <v>266</v>
      </c>
      <c r="B28">
        <v>3472</v>
      </c>
      <c r="C28">
        <f t="shared" si="0"/>
        <v>940</v>
      </c>
      <c r="D28">
        <f t="shared" si="3"/>
        <v>0.20454545454545456</v>
      </c>
      <c r="E28">
        <f t="shared" si="1"/>
        <v>54.409090909090914</v>
      </c>
      <c r="F28">
        <f t="shared" si="2"/>
        <v>61.18</v>
      </c>
      <c r="J28" s="3" t="s">
        <v>26</v>
      </c>
      <c r="K28" s="3">
        <f>0.198</f>
        <v>0.19800000000000001</v>
      </c>
      <c r="L28" s="3" t="s">
        <v>18</v>
      </c>
    </row>
    <row r="29" spans="1:33" x14ac:dyDescent="0.35">
      <c r="A29">
        <v>319</v>
      </c>
      <c r="B29">
        <v>3460</v>
      </c>
      <c r="C29">
        <f t="shared" si="0"/>
        <v>952</v>
      </c>
      <c r="D29">
        <f t="shared" si="3"/>
        <v>0.22641509433962265</v>
      </c>
      <c r="E29">
        <f t="shared" si="1"/>
        <v>72.226415094339629</v>
      </c>
      <c r="F29">
        <f t="shared" si="2"/>
        <v>73.37</v>
      </c>
    </row>
    <row r="30" spans="1:33" x14ac:dyDescent="0.35">
      <c r="A30">
        <v>383</v>
      </c>
      <c r="B30">
        <v>3446</v>
      </c>
      <c r="C30">
        <f t="shared" si="0"/>
        <v>966</v>
      </c>
      <c r="D30">
        <f t="shared" si="3"/>
        <v>0.21875</v>
      </c>
      <c r="E30">
        <f t="shared" si="1"/>
        <v>83.78125</v>
      </c>
      <c r="F30">
        <f t="shared" si="2"/>
        <v>88.09</v>
      </c>
    </row>
    <row r="31" spans="1:33" x14ac:dyDescent="0.35">
      <c r="A31">
        <v>460</v>
      </c>
      <c r="B31">
        <v>3429</v>
      </c>
      <c r="C31">
        <f t="shared" si="0"/>
        <v>983</v>
      </c>
      <c r="D31">
        <f t="shared" si="3"/>
        <v>0.22077922077922077</v>
      </c>
      <c r="E31">
        <f t="shared" si="1"/>
        <v>101.55844155844156</v>
      </c>
      <c r="F31">
        <f t="shared" si="2"/>
        <v>105.80000000000001</v>
      </c>
    </row>
    <row r="32" spans="1:33" x14ac:dyDescent="0.35">
      <c r="A32" s="12" t="s">
        <v>33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20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43" spans="1:20" x14ac:dyDescent="0.35">
      <c r="S43" t="s">
        <v>3</v>
      </c>
      <c r="T43">
        <f>0.2194</f>
        <v>0.21940000000000001</v>
      </c>
    </row>
    <row r="45" spans="1:20" x14ac:dyDescent="0.35">
      <c r="S45" t="s">
        <v>4</v>
      </c>
      <c r="T45">
        <f>0.2339*1.136*250/(0.039*T43*0.000017)</f>
        <v>456665717.96659184</v>
      </c>
    </row>
    <row r="46" spans="1:20" x14ac:dyDescent="0.35">
      <c r="T46">
        <f>T45/5.615</f>
        <v>81329602.487371653</v>
      </c>
    </row>
    <row r="54" spans="1:25" x14ac:dyDescent="0.35">
      <c r="W54" t="s">
        <v>3</v>
      </c>
      <c r="X54">
        <v>369.87</v>
      </c>
    </row>
    <row r="55" spans="1:25" x14ac:dyDescent="0.35">
      <c r="M55" s="10" t="s">
        <v>34</v>
      </c>
      <c r="N55" s="10"/>
      <c r="O55" s="10"/>
      <c r="W55" t="s">
        <v>45</v>
      </c>
      <c r="X55">
        <f>K22*K26/(24*X54)</f>
        <v>3.1993222844062322E-2</v>
      </c>
      <c r="Y55" t="s">
        <v>46</v>
      </c>
    </row>
    <row r="56" spans="1:25" x14ac:dyDescent="0.35">
      <c r="B56" t="s">
        <v>3</v>
      </c>
      <c r="C56">
        <f>2.303*34.12</f>
        <v>78.578359999999989</v>
      </c>
      <c r="E56" s="10" t="s">
        <v>27</v>
      </c>
      <c r="F56" s="10"/>
      <c r="G56" s="10"/>
      <c r="M56" t="s">
        <v>3</v>
      </c>
      <c r="N56">
        <f>0.2194</f>
        <v>0.21940000000000001</v>
      </c>
    </row>
    <row r="57" spans="1:25" x14ac:dyDescent="0.35">
      <c r="B57" s="1" t="s">
        <v>13</v>
      </c>
      <c r="C57" s="1">
        <f>162.6*K22*K27*K26/(K23*C56)</f>
        <v>6.8136028689124428</v>
      </c>
      <c r="D57" t="s">
        <v>2</v>
      </c>
      <c r="M57" t="s">
        <v>4</v>
      </c>
      <c r="N57">
        <f>0.2339*K22*K26/(K24*K25*K23*N56)</f>
        <v>6618343.7386462614</v>
      </c>
      <c r="O57" t="s">
        <v>5</v>
      </c>
    </row>
    <row r="58" spans="1:25" x14ac:dyDescent="0.35">
      <c r="B58" t="s">
        <v>28</v>
      </c>
      <c r="C58">
        <v>3657.8</v>
      </c>
      <c r="D58" t="s">
        <v>29</v>
      </c>
      <c r="N58">
        <f>N57/5.615</f>
        <v>1178689.8911213288</v>
      </c>
      <c r="O58" t="s">
        <v>6</v>
      </c>
    </row>
    <row r="59" spans="1:25" x14ac:dyDescent="0.35">
      <c r="B59" t="s">
        <v>30</v>
      </c>
      <c r="C59">
        <f>B2-C58</f>
        <v>754.19999999999982</v>
      </c>
      <c r="N59">
        <f>N57/43560</f>
        <v>151.93626580914281</v>
      </c>
      <c r="O59" t="s">
        <v>35</v>
      </c>
    </row>
    <row r="60" spans="1:25" x14ac:dyDescent="0.35">
      <c r="A60" s="11" t="s">
        <v>31</v>
      </c>
      <c r="B60" s="11"/>
      <c r="C60">
        <f>C57/(K24*K25*K27*K28*K28)</f>
        <v>327674708.06841028</v>
      </c>
      <c r="M60" t="s">
        <v>36</v>
      </c>
    </row>
    <row r="61" spans="1:25" x14ac:dyDescent="0.35">
      <c r="B61" s="1" t="s">
        <v>32</v>
      </c>
      <c r="C61" s="1">
        <f>1.151*((C59/C56)+3.23-LOG10(C60))</f>
        <v>4.9638249824815777</v>
      </c>
      <c r="M61" s="1" t="s">
        <v>43</v>
      </c>
      <c r="N61">
        <f>B2-3530</f>
        <v>882</v>
      </c>
      <c r="O61" t="s">
        <v>29</v>
      </c>
    </row>
    <row r="62" spans="1:25" x14ac:dyDescent="0.35">
      <c r="B62" t="s">
        <v>41</v>
      </c>
      <c r="C62">
        <f>0.87*C56*C61</f>
        <v>339.34282701187504</v>
      </c>
      <c r="D62" t="s">
        <v>29</v>
      </c>
      <c r="M62" s="1" t="s">
        <v>42</v>
      </c>
      <c r="O62">
        <f>N61*C57*K23/(141.2*K22*K26*K27)</f>
        <v>12.92562253733945</v>
      </c>
    </row>
    <row r="64" spans="1:25" x14ac:dyDescent="0.35">
      <c r="B64" s="4" t="s">
        <v>38</v>
      </c>
      <c r="M64" s="5" t="s">
        <v>37</v>
      </c>
      <c r="N64" s="6">
        <f>4*N57/(EXP((O62-C61)*2)*1.781*K28*K28)</f>
        <v>46.055926419695105</v>
      </c>
      <c r="O64" t="s">
        <v>44</v>
      </c>
    </row>
    <row r="65" spans="2:2" x14ac:dyDescent="0.35">
      <c r="B65" s="4" t="s">
        <v>39</v>
      </c>
    </row>
    <row r="66" spans="2:2" x14ac:dyDescent="0.35">
      <c r="B66" s="4" t="s">
        <v>40</v>
      </c>
    </row>
  </sheetData>
  <mergeCells count="5">
    <mergeCell ref="J20:N21"/>
    <mergeCell ref="E56:G56"/>
    <mergeCell ref="A60:B60"/>
    <mergeCell ref="A32:J33"/>
    <mergeCell ref="M55:O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Upadhyay</dc:creator>
  <cp:lastModifiedBy>Anuj Agrawal</cp:lastModifiedBy>
  <dcterms:created xsi:type="dcterms:W3CDTF">2017-11-20T07:16:32Z</dcterms:created>
  <dcterms:modified xsi:type="dcterms:W3CDTF">2026-10-22T08:31:51Z</dcterms:modified>
</cp:coreProperties>
</file>